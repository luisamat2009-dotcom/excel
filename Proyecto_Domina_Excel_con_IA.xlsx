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Análisis IA" sheetId="2" state="visible" r:id="rId4"/>
    <sheet name="Documenta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<sst xmlns="http://schemas.openxmlformats.org/spreadsheetml/2006/main" count="296" uniqueCount="59">
  <si>
    <t xml:space="preserve">Control de Gastos Personales — Datos</t>
  </si>
  <si>
    <t xml:space="preserve">Registro de transacciones de enero a junio de 2026</t>
  </si>
  <si>
    <t xml:space="preserve">Fecha</t>
  </si>
  <si>
    <t xml:space="preserve">Mes</t>
  </si>
  <si>
    <t xml:space="preserve">Categoría</t>
  </si>
  <si>
    <t xml:space="preserve">Descripción</t>
  </si>
  <si>
    <t xml:space="preserve">Monto</t>
  </si>
  <si>
    <t xml:space="preserve">Enero</t>
  </si>
  <si>
    <t xml:space="preserve">Transporte</t>
  </si>
  <si>
    <t xml:space="preserve">Gasolina</t>
  </si>
  <si>
    <t xml:space="preserve">Transporte público</t>
  </si>
  <si>
    <t xml:space="preserve">Alimentación</t>
  </si>
  <si>
    <t xml:space="preserve">Mercado</t>
  </si>
  <si>
    <t xml:space="preserve">Vivienda</t>
  </si>
  <si>
    <t xml:space="preserve">Arriendo</t>
  </si>
  <si>
    <t xml:space="preserve">Salud</t>
  </si>
  <si>
    <t xml:space="preserve">Medicamentos</t>
  </si>
  <si>
    <t xml:space="preserve">Entretenimiento</t>
  </si>
  <si>
    <t xml:space="preserve">Streaming</t>
  </si>
  <si>
    <t xml:space="preserve">Gimnasio</t>
  </si>
  <si>
    <t xml:space="preserve">Otros gastos</t>
  </si>
  <si>
    <t xml:space="preserve">Febrero</t>
  </si>
  <si>
    <t xml:space="preserve">Administración</t>
  </si>
  <si>
    <t xml:space="preserve">Restaurante</t>
  </si>
  <si>
    <t xml:space="preserve">Marzo</t>
  </si>
  <si>
    <t xml:space="preserve">Cine</t>
  </si>
  <si>
    <t xml:space="preserve">Servicios</t>
  </si>
  <si>
    <t xml:space="preserve">Internet</t>
  </si>
  <si>
    <t xml:space="preserve">Celular</t>
  </si>
  <si>
    <t xml:space="preserve">Domicilio comida</t>
  </si>
  <si>
    <t xml:space="preserve">Abril</t>
  </si>
  <si>
    <t xml:space="preserve">Energía</t>
  </si>
  <si>
    <t xml:space="preserve">Mayo</t>
  </si>
  <si>
    <t xml:space="preserve">Uber</t>
  </si>
  <si>
    <t xml:space="preserve">Salida amigos</t>
  </si>
  <si>
    <t xml:space="preserve">Junio</t>
  </si>
  <si>
    <t xml:space="preserve">Análisis con IA: tendencia y proyección de gastos</t>
  </si>
  <si>
    <t xml:space="preserve">Pregunta clave: ¿cuál será el gasto total proyectado del próximo mes según la tendencia?</t>
  </si>
  <si>
    <t xml:space="preserve">Gasto total por categoría</t>
  </si>
  <si>
    <t xml:space="preserve">Total gastado</t>
  </si>
  <si>
    <t xml:space="preserve">Gasto mensual — histórico y proyección (función predictiva IA)</t>
  </si>
  <si>
    <t xml:space="preserve">N° de mes</t>
  </si>
  <si>
    <t xml:space="preserve">Gasto total</t>
  </si>
  <si>
    <t xml:space="preserve">Julio (proyección)</t>
  </si>
  <si>
    <t xml:space="preserve">Interpretación de resultados</t>
  </si>
  <si>
    <t xml:space="preserve">El gasto mensual muestra una tendencia creciente sostenida entre enero y junio (de aprox. $1.45M a $1.86M). Usando la función predictiva FORECAST sobre esa serie histórica, el gasto proyectado para julio es la celda D23. Esto responde la pregunta clave: si la tendencia se mantiene, julio sería el mes con el mayor gasto registrado hasta ahora, por lo que conviene reforzar el control de presupuesto en 'Vivienda' y 'Alimentación', las categorías con mayor peso total.</t>
  </si>
  <si>
    <t xml:space="preserve">Documentación del Proyecto</t>
  </si>
  <si>
    <t xml:space="preserve">Tema elegido</t>
  </si>
  <si>
    <t xml:space="preserve">Control de gastos personales: seguimiento del gasto mensual por categoría y proyección del gasto del próximo mes para anticipar el presupuesto.</t>
  </si>
  <si>
    <t xml:space="preserve">Pregunta clave</t>
  </si>
  <si>
    <t xml:space="preserve">¿Cuál será el gasto total proyectado del próximo mes según la tendencia de los últimos 6 meses, y en qué categorías conviene poner más atención?</t>
  </si>
  <si>
    <t xml:space="preserve">Fuente de datos</t>
  </si>
  <si>
    <t xml:space="preserve">Registro propio de transacciones personales (enero–junio 2026), organizado en la hoja 'Datos' con columnas de fecha, mes, categoría, descripción y monto.</t>
  </si>
  <si>
    <t xml:space="preserve">Funciones y herramientas de IA usadas</t>
  </si>
  <si>
    <t xml:space="preserve">FORECAST (función predictiva de Excel) para proyectar el gasto de julio a partir de la tendencia histórica de los 6 meses anteriores. Adicionalmente, se recomienda explorar 'Ideas' en la pestaña Inicio de Excel sobre la hoja 'Datos': detecta patrones y sugiere visualizaciones automáticamente sobre este mismo conjunto de datos.</t>
  </si>
  <si>
    <t xml:space="preserve">Visualizaciones generadas</t>
  </si>
  <si>
    <t xml:space="preserve">1) Gráfico de barras con el gasto total por categoría. 2) Gráfico de líneas con la tendencia mensual de gasto y el punto de proyección para julio, ambos en la hoja 'Análisis IA'.</t>
  </si>
  <si>
    <t xml:space="preserve">Conclusiones del análisis</t>
  </si>
  <si>
    <t xml:space="preserve">El gasto mensual crece de forma sostenida mes a mes (~6% promedio). La proyección con IA anticipa que julio superaría el gasto de junio si no hay cambios de hábito. Las categorías 'Vivienda' y 'Alimentación' concentran la mayor parte del gasto total, por lo que son el mejor punto de partida para ajustar el presupuesto.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</si>
</sst>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E7C7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0E7C7B"/>
        <bgColor rgb="FF00808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7B7B7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total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'Análisis IA'!C6</c:f>
              <c:strCache>
                <c:ptCount val="1"/>
                <c:pt idx="0">
                  <c:v>Total gastado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'Análisis IA'!$B$7:$B$12</c:f>
              <c:strCache>
                <c:ptCount val="6"/>
                <c:pt idx="0">
                  <c:v>Alimentación</c:v>
                </c:pt>
                <c:pt idx="1">
                  <c:v>Transporte</c:v>
                </c:pt>
                <c:pt idx="2">
                  <c:v>Vivienda</c:v>
                </c:pt>
                <c:pt idx="3">
                  <c:v>Servicios</c:v>
                </c:pt>
                <c:pt idx="4">
                  <c:v>Entretenimiento</c:v>
                </c:pt>
                <c:pt idx="5">
                  <c:v>Salud</c:v>
                </c:pt>
              </c:strCache>
            </c:strRef>
          </c:cat>
          <c:val>
            <c:numRef>
              <c:f>'Análisis IA'!$C$7:$C$12</c:f>
              <c:numCache>
                <c:formatCode>\$#,##0</c:formatCode>
                <c:ptCount val="6"/>
                <c:pt idx="0">
                  <c:v>1956170</c:v>
                </c:pt>
                <c:pt idx="1">
                  <c:v>2071256</c:v>
                </c:pt>
                <c:pt idx="2">
                  <c:v>2158767</c:v>
                </c:pt>
                <c:pt idx="3">
                  <c:v>849844</c:v>
                </c:pt>
                <c:pt idx="4">
                  <c:v>1469050</c:v>
                </c:pt>
                <c:pt idx="5">
                  <c:v>1466856</c:v>
                </c:pt>
              </c:numCache>
            </c:numRef>
          </c:val>
        </c:ser>
        <c:gapWidth val="150"/>
        <c:overlap val="0"/>
        <c:axId val="34713981"/>
        <c:axId val="40455213"/>
      </c:barChart>
      <c:catAx>
        <c:axId val="347139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55213"/>
        <c:crosses val="autoZero"/>
        <c:auto val="1"/>
        <c:lblAlgn val="ctr"/>
        <c:lblOffset val="100"/>
        <c:noMultiLvlLbl val="0"/>
      </c:catAx>
      <c:valAx>
        <c:axId val="40455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139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Tendencia de gasto mensual y proyección (IA)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'Análisis IA'!D16</c:f>
              <c:strCache>
                <c:ptCount val="1"/>
                <c:pt idx="0">
                  <c:v>Gasto total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'Análisis IA'!$B$17:$B$23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 (proyección)</c:v>
                </c:pt>
              </c:strCache>
            </c:strRef>
          </c:cat>
          <c:val>
            <c:numRef>
              <c:f>'Análisis IA'!$D$17:$D$23</c:f>
              <c:numCache>
                <c:formatCode>\$#,##0</c:formatCode>
                <c:ptCount val="7"/>
                <c:pt idx="0">
                  <c:v>1450000</c:v>
                </c:pt>
                <c:pt idx="1">
                  <c:v>1520000</c:v>
                </c:pt>
                <c:pt idx="2">
                  <c:v>1610000</c:v>
                </c:pt>
                <c:pt idx="3">
                  <c:v>1690000</c:v>
                </c:pt>
                <c:pt idx="4">
                  <c:v>1780000</c:v>
                </c:pt>
                <c:pt idx="5">
                  <c:v>1921943</c:v>
                </c:pt>
                <c:pt idx="6">
                  <c:v>1983962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121143"/>
        <c:axId val="8797391"/>
      </c:lineChart>
      <c:catAx>
        <c:axId val="331211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7391"/>
        <c:crosses val="autoZero"/>
        <c:auto val="1"/>
        <c:lblAlgn val="ctr"/>
        <c:lblOffset val="100"/>
        <c:noMultiLvlLbl val="0"/>
      </c:catAx>
      <c:valAx>
        <c:axId val="8797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Gasto total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21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131040</xdr:rowOff>
    </xdr:from>
    <xdr:to>
      <xdr:col>15</xdr:col>
      <xdr:colOff>507600</xdr:colOff>
      <xdr:row>19</xdr:row>
      <xdr:rowOff>153000</xdr:rowOff>
    </xdr:to>
    <xdr:graphicFrame>
      <xdr:nvGraphicFramePr>
        <xdr:cNvPr id="0" name="Chart 1"/>
        <xdr:cNvGraphicFramePr/>
      </xdr:nvGraphicFramePr>
      <xdr:xfrm>
        <a:off x="5686560" y="952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131040</xdr:rowOff>
    </xdr:from>
    <xdr:to>
      <xdr:col>15</xdr:col>
      <xdr:colOff>507600</xdr:colOff>
      <xdr:row>37</xdr:row>
      <xdr:rowOff>153000</xdr:rowOff>
    </xdr:to>
    <xdr:graphicFrame>
      <xdr:nvGraphicFramePr>
        <xdr:cNvPr id="1" name="Chart 2"/>
        <xdr:cNvGraphicFramePr/>
      </xdr:nvGraphicFramePr>
      <xdr:xfrm>
        <a:off x="5686560" y="438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" hidden="false" customHeight="false" outlineLevel="0" collapsed="false">
      <c r="B6" s="4" t="n">
        <v>46026</v>
      </c>
      <c r="C6" s="5" t="s">
        <v>7</v>
      </c>
      <c r="D6" s="5" t="s">
        <v>8</v>
      </c>
      <c r="E6" s="5" t="s">
        <v>9</v>
      </c>
      <c r="F6" s="6" t="n">
        <v>36190</v>
      </c>
    </row>
    <row r="7" customFormat="false" ht="15" hidden="false" customHeight="false" outlineLevel="0" collapsed="false">
      <c r="B7" s="7" t="n">
        <v>46028</v>
      </c>
      <c r="C7" s="8" t="s">
        <v>7</v>
      </c>
      <c r="D7" s="8" t="s">
        <v>8</v>
      </c>
      <c r="E7" s="8" t="s">
        <v>10</v>
      </c>
      <c r="F7" s="9" t="n">
        <v>61612</v>
      </c>
    </row>
    <row r="8" customFormat="false" ht="15" hidden="false" customHeight="false" outlineLevel="0" collapsed="false">
      <c r="B8" s="4" t="n">
        <v>46029</v>
      </c>
      <c r="C8" s="5" t="s">
        <v>7</v>
      </c>
      <c r="D8" s="5" t="s">
        <v>11</v>
      </c>
      <c r="E8" s="5" t="s">
        <v>12</v>
      </c>
      <c r="F8" s="6" t="n">
        <v>100586</v>
      </c>
    </row>
    <row r="9" customFormat="false" ht="15" hidden="false" customHeight="false" outlineLevel="0" collapsed="false">
      <c r="B9" s="7" t="n">
        <v>46031</v>
      </c>
      <c r="C9" s="8" t="s">
        <v>7</v>
      </c>
      <c r="D9" s="8" t="s">
        <v>13</v>
      </c>
      <c r="E9" s="8" t="s">
        <v>14</v>
      </c>
      <c r="F9" s="9" t="n">
        <v>174703</v>
      </c>
    </row>
    <row r="10" customFormat="false" ht="15" hidden="false" customHeight="false" outlineLevel="0" collapsed="false">
      <c r="B10" s="4" t="n">
        <v>46032</v>
      </c>
      <c r="C10" s="5" t="s">
        <v>7</v>
      </c>
      <c r="D10" s="5" t="s">
        <v>15</v>
      </c>
      <c r="E10" s="5" t="s">
        <v>16</v>
      </c>
      <c r="F10" s="6" t="n">
        <v>181294</v>
      </c>
    </row>
    <row r="11" customFormat="false" ht="15" hidden="false" customHeight="false" outlineLevel="0" collapsed="false">
      <c r="B11" s="7" t="n">
        <v>46034</v>
      </c>
      <c r="C11" s="8" t="s">
        <v>7</v>
      </c>
      <c r="D11" s="8" t="s">
        <v>17</v>
      </c>
      <c r="E11" s="8" t="s">
        <v>18</v>
      </c>
      <c r="F11" s="9" t="n">
        <v>111443</v>
      </c>
    </row>
    <row r="12" customFormat="false" ht="15" hidden="false" customHeight="false" outlineLevel="0" collapsed="false">
      <c r="B12" s="4" t="n">
        <v>46035</v>
      </c>
      <c r="C12" s="5" t="s">
        <v>7</v>
      </c>
      <c r="D12" s="5" t="s">
        <v>8</v>
      </c>
      <c r="E12" s="5" t="s">
        <v>9</v>
      </c>
      <c r="F12" s="6" t="n">
        <v>59246</v>
      </c>
    </row>
    <row r="13" customFormat="false" ht="15" hidden="false" customHeight="false" outlineLevel="0" collapsed="false">
      <c r="B13" s="7" t="n">
        <v>46037</v>
      </c>
      <c r="C13" s="8" t="s">
        <v>7</v>
      </c>
      <c r="D13" s="8" t="s">
        <v>15</v>
      </c>
      <c r="E13" s="8" t="s">
        <v>19</v>
      </c>
      <c r="F13" s="9" t="n">
        <v>190517</v>
      </c>
    </row>
    <row r="14" customFormat="false" ht="15" hidden="false" customHeight="false" outlineLevel="0" collapsed="false">
      <c r="B14" s="4" t="n">
        <v>46039</v>
      </c>
      <c r="C14" s="5" t="s">
        <v>7</v>
      </c>
      <c r="D14" s="5" t="s">
        <v>13</v>
      </c>
      <c r="E14" s="5" t="s">
        <v>14</v>
      </c>
      <c r="F14" s="6" t="n">
        <v>133069</v>
      </c>
    </row>
    <row r="15" customFormat="false" ht="15" hidden="false" customHeight="false" outlineLevel="0" collapsed="false">
      <c r="B15" s="7" t="n">
        <v>46041</v>
      </c>
      <c r="C15" s="8" t="s">
        <v>7</v>
      </c>
      <c r="D15" s="8" t="s">
        <v>15</v>
      </c>
      <c r="E15" s="8" t="s">
        <v>16</v>
      </c>
      <c r="F15" s="9" t="n">
        <v>103276</v>
      </c>
    </row>
    <row r="16" customFormat="false" ht="15" hidden="false" customHeight="false" outlineLevel="0" collapsed="false">
      <c r="B16" s="4" t="n">
        <v>46042</v>
      </c>
      <c r="C16" s="5" t="s">
        <v>7</v>
      </c>
      <c r="D16" s="5" t="s">
        <v>15</v>
      </c>
      <c r="E16" s="5" t="s">
        <v>16</v>
      </c>
      <c r="F16" s="6" t="n">
        <v>143222</v>
      </c>
    </row>
    <row r="17" customFormat="false" ht="15" hidden="false" customHeight="false" outlineLevel="0" collapsed="false">
      <c r="B17" s="7" t="n">
        <v>46044</v>
      </c>
      <c r="C17" s="8" t="s">
        <v>7</v>
      </c>
      <c r="D17" s="8" t="s">
        <v>13</v>
      </c>
      <c r="E17" s="8" t="s">
        <v>14</v>
      </c>
      <c r="F17" s="9" t="n">
        <v>139939</v>
      </c>
    </row>
    <row r="18" customFormat="false" ht="15" hidden="false" customHeight="false" outlineLevel="0" collapsed="false">
      <c r="B18" s="4" t="n">
        <v>46050</v>
      </c>
      <c r="C18" s="5" t="s">
        <v>7</v>
      </c>
      <c r="D18" s="5" t="s">
        <v>17</v>
      </c>
      <c r="E18" s="5" t="s">
        <v>20</v>
      </c>
      <c r="F18" s="6" t="n">
        <v>14903</v>
      </c>
    </row>
    <row r="19" customFormat="false" ht="15" hidden="false" customHeight="false" outlineLevel="0" collapsed="false">
      <c r="B19" s="7" t="n">
        <v>46056</v>
      </c>
      <c r="C19" s="8" t="s">
        <v>21</v>
      </c>
      <c r="D19" s="8" t="s">
        <v>13</v>
      </c>
      <c r="E19" s="8" t="s">
        <v>22</v>
      </c>
      <c r="F19" s="9" t="n">
        <v>134142</v>
      </c>
    </row>
    <row r="20" customFormat="false" ht="15" hidden="false" customHeight="false" outlineLevel="0" collapsed="false">
      <c r="B20" s="4" t="n">
        <v>46057</v>
      </c>
      <c r="C20" s="5" t="s">
        <v>21</v>
      </c>
      <c r="D20" s="5" t="s">
        <v>13</v>
      </c>
      <c r="E20" s="5" t="s">
        <v>22</v>
      </c>
      <c r="F20" s="6" t="n">
        <v>134127</v>
      </c>
    </row>
    <row r="21" customFormat="false" ht="15" hidden="false" customHeight="false" outlineLevel="0" collapsed="false">
      <c r="B21" s="7" t="n">
        <v>46059</v>
      </c>
      <c r="C21" s="8" t="s">
        <v>21</v>
      </c>
      <c r="D21" s="8" t="s">
        <v>13</v>
      </c>
      <c r="E21" s="8" t="s">
        <v>22</v>
      </c>
      <c r="F21" s="9" t="n">
        <v>206485</v>
      </c>
    </row>
    <row r="22" customFormat="false" ht="15" hidden="false" customHeight="false" outlineLevel="0" collapsed="false">
      <c r="B22" s="4" t="n">
        <v>46061</v>
      </c>
      <c r="C22" s="5" t="s">
        <v>21</v>
      </c>
      <c r="D22" s="5" t="s">
        <v>11</v>
      </c>
      <c r="E22" s="5" t="s">
        <v>12</v>
      </c>
      <c r="F22" s="6" t="n">
        <v>146322</v>
      </c>
    </row>
    <row r="23" customFormat="false" ht="15" hidden="false" customHeight="false" outlineLevel="0" collapsed="false">
      <c r="B23" s="7" t="n">
        <v>46062</v>
      </c>
      <c r="C23" s="8" t="s">
        <v>21</v>
      </c>
      <c r="D23" s="8" t="s">
        <v>11</v>
      </c>
      <c r="E23" s="8" t="s">
        <v>23</v>
      </c>
      <c r="F23" s="9" t="n">
        <v>135592</v>
      </c>
    </row>
    <row r="24" customFormat="false" ht="15" hidden="false" customHeight="false" outlineLevel="0" collapsed="false">
      <c r="B24" s="4" t="n">
        <v>46064</v>
      </c>
      <c r="C24" s="5" t="s">
        <v>21</v>
      </c>
      <c r="D24" s="5" t="s">
        <v>8</v>
      </c>
      <c r="E24" s="5" t="s">
        <v>10</v>
      </c>
      <c r="F24" s="6" t="n">
        <v>92585</v>
      </c>
    </row>
    <row r="25" customFormat="false" ht="15" hidden="false" customHeight="false" outlineLevel="0" collapsed="false">
      <c r="B25" s="7" t="n">
        <v>46065</v>
      </c>
      <c r="C25" s="8" t="s">
        <v>21</v>
      </c>
      <c r="D25" s="8" t="s">
        <v>11</v>
      </c>
      <c r="E25" s="8" t="s">
        <v>12</v>
      </c>
      <c r="F25" s="9" t="n">
        <v>150318</v>
      </c>
    </row>
    <row r="26" customFormat="false" ht="15" hidden="false" customHeight="false" outlineLevel="0" collapsed="false">
      <c r="B26" s="4" t="n">
        <v>46067</v>
      </c>
      <c r="C26" s="5" t="s">
        <v>21</v>
      </c>
      <c r="D26" s="5" t="s">
        <v>8</v>
      </c>
      <c r="E26" s="5" t="s">
        <v>9</v>
      </c>
      <c r="F26" s="6" t="n">
        <v>173294</v>
      </c>
    </row>
    <row r="27" customFormat="false" ht="15" hidden="false" customHeight="false" outlineLevel="0" collapsed="false">
      <c r="B27" s="7" t="n">
        <v>46069</v>
      </c>
      <c r="C27" s="8" t="s">
        <v>21</v>
      </c>
      <c r="D27" s="8" t="s">
        <v>13</v>
      </c>
      <c r="E27" s="8" t="s">
        <v>14</v>
      </c>
      <c r="F27" s="9" t="n">
        <v>116058</v>
      </c>
    </row>
    <row r="28" customFormat="false" ht="15" hidden="false" customHeight="false" outlineLevel="0" collapsed="false">
      <c r="B28" s="4" t="n">
        <v>46070</v>
      </c>
      <c r="C28" s="5" t="s">
        <v>21</v>
      </c>
      <c r="D28" s="5" t="s">
        <v>15</v>
      </c>
      <c r="E28" s="5" t="s">
        <v>16</v>
      </c>
      <c r="F28" s="6" t="n">
        <v>146283</v>
      </c>
    </row>
    <row r="29" customFormat="false" ht="15" hidden="false" customHeight="false" outlineLevel="0" collapsed="false">
      <c r="B29" s="7" t="n">
        <v>46081</v>
      </c>
      <c r="C29" s="8" t="s">
        <v>21</v>
      </c>
      <c r="D29" s="8" t="s">
        <v>11</v>
      </c>
      <c r="E29" s="8" t="s">
        <v>20</v>
      </c>
      <c r="F29" s="9" t="n">
        <v>84794</v>
      </c>
    </row>
    <row r="30" customFormat="false" ht="15" hidden="false" customHeight="false" outlineLevel="0" collapsed="false">
      <c r="B30" s="4" t="n">
        <v>46084</v>
      </c>
      <c r="C30" s="5" t="s">
        <v>24</v>
      </c>
      <c r="D30" s="5" t="s">
        <v>17</v>
      </c>
      <c r="E30" s="5" t="s">
        <v>25</v>
      </c>
      <c r="F30" s="6" t="n">
        <v>199627</v>
      </c>
    </row>
    <row r="31" customFormat="false" ht="15" hidden="false" customHeight="false" outlineLevel="0" collapsed="false">
      <c r="B31" s="7" t="n">
        <v>46085</v>
      </c>
      <c r="C31" s="8" t="s">
        <v>24</v>
      </c>
      <c r="D31" s="8" t="s">
        <v>15</v>
      </c>
      <c r="E31" s="8" t="s">
        <v>16</v>
      </c>
      <c r="F31" s="9" t="n">
        <v>43655</v>
      </c>
    </row>
    <row r="32" customFormat="false" ht="15" hidden="false" customHeight="false" outlineLevel="0" collapsed="false">
      <c r="B32" s="4" t="n">
        <v>46087</v>
      </c>
      <c r="C32" s="5" t="s">
        <v>24</v>
      </c>
      <c r="D32" s="5" t="s">
        <v>26</v>
      </c>
      <c r="E32" s="5" t="s">
        <v>27</v>
      </c>
      <c r="F32" s="6" t="n">
        <v>68684</v>
      </c>
    </row>
    <row r="33" customFormat="false" ht="15" hidden="false" customHeight="false" outlineLevel="0" collapsed="false">
      <c r="B33" s="7" t="n">
        <v>46088</v>
      </c>
      <c r="C33" s="8" t="s">
        <v>24</v>
      </c>
      <c r="D33" s="8" t="s">
        <v>11</v>
      </c>
      <c r="E33" s="8" t="s">
        <v>12</v>
      </c>
      <c r="F33" s="9" t="n">
        <v>160687</v>
      </c>
    </row>
    <row r="34" customFormat="false" ht="15" hidden="false" customHeight="false" outlineLevel="0" collapsed="false">
      <c r="B34" s="4" t="n">
        <v>46090</v>
      </c>
      <c r="C34" s="5" t="s">
        <v>24</v>
      </c>
      <c r="D34" s="5" t="s">
        <v>17</v>
      </c>
      <c r="E34" s="5" t="s">
        <v>18</v>
      </c>
      <c r="F34" s="6" t="n">
        <v>209268</v>
      </c>
    </row>
    <row r="35" customFormat="false" ht="15" hidden="false" customHeight="false" outlineLevel="0" collapsed="false">
      <c r="B35" s="7" t="n">
        <v>46092</v>
      </c>
      <c r="C35" s="8" t="s">
        <v>24</v>
      </c>
      <c r="D35" s="8" t="s">
        <v>26</v>
      </c>
      <c r="E35" s="8" t="s">
        <v>28</v>
      </c>
      <c r="F35" s="9" t="n">
        <v>47265</v>
      </c>
    </row>
    <row r="36" customFormat="false" ht="15" hidden="false" customHeight="false" outlineLevel="0" collapsed="false">
      <c r="B36" s="4" t="n">
        <v>46093</v>
      </c>
      <c r="C36" s="5" t="s">
        <v>24</v>
      </c>
      <c r="D36" s="5" t="s">
        <v>11</v>
      </c>
      <c r="E36" s="5" t="s">
        <v>29</v>
      </c>
      <c r="F36" s="6" t="n">
        <v>97863</v>
      </c>
    </row>
    <row r="37" customFormat="false" ht="15" hidden="false" customHeight="false" outlineLevel="0" collapsed="false">
      <c r="B37" s="7" t="n">
        <v>46095</v>
      </c>
      <c r="C37" s="8" t="s">
        <v>24</v>
      </c>
      <c r="D37" s="8" t="s">
        <v>11</v>
      </c>
      <c r="E37" s="8" t="s">
        <v>12</v>
      </c>
      <c r="F37" s="9" t="n">
        <v>161074</v>
      </c>
    </row>
    <row r="38" customFormat="false" ht="15" hidden="false" customHeight="false" outlineLevel="0" collapsed="false">
      <c r="B38" s="4" t="n">
        <v>46096</v>
      </c>
      <c r="C38" s="5" t="s">
        <v>24</v>
      </c>
      <c r="D38" s="5" t="s">
        <v>15</v>
      </c>
      <c r="E38" s="5" t="s">
        <v>16</v>
      </c>
      <c r="F38" s="6" t="n">
        <v>119279</v>
      </c>
    </row>
    <row r="39" customFormat="false" ht="15" hidden="false" customHeight="false" outlineLevel="0" collapsed="false">
      <c r="B39" s="7" t="n">
        <v>46098</v>
      </c>
      <c r="C39" s="8" t="s">
        <v>24</v>
      </c>
      <c r="D39" s="8" t="s">
        <v>8</v>
      </c>
      <c r="E39" s="8" t="s">
        <v>10</v>
      </c>
      <c r="F39" s="9" t="n">
        <v>211424</v>
      </c>
    </row>
    <row r="40" customFormat="false" ht="15" hidden="false" customHeight="false" outlineLevel="0" collapsed="false">
      <c r="B40" s="4" t="n">
        <v>46099</v>
      </c>
      <c r="C40" s="5" t="s">
        <v>24</v>
      </c>
      <c r="D40" s="5" t="s">
        <v>15</v>
      </c>
      <c r="E40" s="5" t="s">
        <v>19</v>
      </c>
      <c r="F40" s="6" t="n">
        <v>76483</v>
      </c>
    </row>
    <row r="41" customFormat="false" ht="15" hidden="false" customHeight="false" outlineLevel="0" collapsed="false">
      <c r="B41" s="7" t="n">
        <v>46100</v>
      </c>
      <c r="C41" s="8" t="s">
        <v>24</v>
      </c>
      <c r="D41" s="8" t="s">
        <v>11</v>
      </c>
      <c r="E41" s="8" t="s">
        <v>12</v>
      </c>
      <c r="F41" s="9" t="n">
        <v>122347</v>
      </c>
    </row>
    <row r="42" customFormat="false" ht="15" hidden="false" customHeight="false" outlineLevel="0" collapsed="false">
      <c r="B42" s="4" t="n">
        <v>46109</v>
      </c>
      <c r="C42" s="5" t="s">
        <v>24</v>
      </c>
      <c r="D42" s="5" t="s">
        <v>8</v>
      </c>
      <c r="E42" s="5" t="s">
        <v>20</v>
      </c>
      <c r="F42" s="6" t="n">
        <v>92344</v>
      </c>
    </row>
    <row r="43" customFormat="false" ht="15" hidden="false" customHeight="false" outlineLevel="0" collapsed="false">
      <c r="B43" s="7" t="n">
        <v>46115</v>
      </c>
      <c r="C43" s="8" t="s">
        <v>30</v>
      </c>
      <c r="D43" s="8" t="s">
        <v>17</v>
      </c>
      <c r="E43" s="8" t="s">
        <v>18</v>
      </c>
      <c r="F43" s="9" t="n">
        <v>157568</v>
      </c>
    </row>
    <row r="44" customFormat="false" ht="15" hidden="false" customHeight="false" outlineLevel="0" collapsed="false">
      <c r="B44" s="4" t="n">
        <v>46116</v>
      </c>
      <c r="C44" s="5" t="s">
        <v>30</v>
      </c>
      <c r="D44" s="5" t="s">
        <v>8</v>
      </c>
      <c r="E44" s="5" t="s">
        <v>9</v>
      </c>
      <c r="F44" s="6" t="n">
        <v>102447</v>
      </c>
    </row>
    <row r="45" customFormat="false" ht="15" hidden="false" customHeight="false" outlineLevel="0" collapsed="false">
      <c r="B45" s="7" t="n">
        <v>46117</v>
      </c>
      <c r="C45" s="8" t="s">
        <v>30</v>
      </c>
      <c r="D45" s="8" t="s">
        <v>17</v>
      </c>
      <c r="E45" s="8" t="s">
        <v>18</v>
      </c>
      <c r="F45" s="9" t="n">
        <v>192121</v>
      </c>
    </row>
    <row r="46" customFormat="false" ht="15" hidden="false" customHeight="false" outlineLevel="0" collapsed="false">
      <c r="B46" s="4" t="n">
        <v>46118</v>
      </c>
      <c r="C46" s="5" t="s">
        <v>30</v>
      </c>
      <c r="D46" s="5" t="s">
        <v>26</v>
      </c>
      <c r="E46" s="5" t="s">
        <v>31</v>
      </c>
      <c r="F46" s="6" t="n">
        <v>60813</v>
      </c>
    </row>
    <row r="47" customFormat="false" ht="15" hidden="false" customHeight="false" outlineLevel="0" collapsed="false">
      <c r="B47" s="7" t="n">
        <v>46119</v>
      </c>
      <c r="C47" s="8" t="s">
        <v>30</v>
      </c>
      <c r="D47" s="8" t="s">
        <v>11</v>
      </c>
      <c r="E47" s="8" t="s">
        <v>12</v>
      </c>
      <c r="F47" s="9" t="n">
        <v>129026</v>
      </c>
    </row>
    <row r="48" customFormat="false" ht="15" hidden="false" customHeight="false" outlineLevel="0" collapsed="false">
      <c r="B48" s="4" t="n">
        <v>46121</v>
      </c>
      <c r="C48" s="5" t="s">
        <v>30</v>
      </c>
      <c r="D48" s="5" t="s">
        <v>8</v>
      </c>
      <c r="E48" s="5" t="s">
        <v>9</v>
      </c>
      <c r="F48" s="6" t="n">
        <v>158448</v>
      </c>
    </row>
    <row r="49" customFormat="false" ht="15" hidden="false" customHeight="false" outlineLevel="0" collapsed="false">
      <c r="B49" s="7" t="n">
        <v>46123</v>
      </c>
      <c r="C49" s="8" t="s">
        <v>30</v>
      </c>
      <c r="D49" s="8" t="s">
        <v>11</v>
      </c>
      <c r="E49" s="8" t="s">
        <v>29</v>
      </c>
      <c r="F49" s="9" t="n">
        <v>218254</v>
      </c>
    </row>
    <row r="50" customFormat="false" ht="15" hidden="false" customHeight="false" outlineLevel="0" collapsed="false">
      <c r="B50" s="4" t="n">
        <v>46124</v>
      </c>
      <c r="C50" s="5" t="s">
        <v>30</v>
      </c>
      <c r="D50" s="5" t="s">
        <v>26</v>
      </c>
      <c r="E50" s="5" t="s">
        <v>31</v>
      </c>
      <c r="F50" s="6" t="n">
        <v>95278</v>
      </c>
    </row>
    <row r="51" customFormat="false" ht="15" hidden="false" customHeight="false" outlineLevel="0" collapsed="false">
      <c r="B51" s="7" t="n">
        <v>46125</v>
      </c>
      <c r="C51" s="8" t="s">
        <v>30</v>
      </c>
      <c r="D51" s="8" t="s">
        <v>11</v>
      </c>
      <c r="E51" s="8" t="s">
        <v>23</v>
      </c>
      <c r="F51" s="9" t="n">
        <v>47093</v>
      </c>
    </row>
    <row r="52" customFormat="false" ht="15" hidden="false" customHeight="false" outlineLevel="0" collapsed="false">
      <c r="B52" s="4" t="n">
        <v>46126</v>
      </c>
      <c r="C52" s="5" t="s">
        <v>30</v>
      </c>
      <c r="D52" s="5" t="s">
        <v>8</v>
      </c>
      <c r="E52" s="5" t="s">
        <v>10</v>
      </c>
      <c r="F52" s="6" t="n">
        <v>113581</v>
      </c>
    </row>
    <row r="53" customFormat="false" ht="15" hidden="false" customHeight="false" outlineLevel="0" collapsed="false">
      <c r="B53" s="7" t="n">
        <v>46128</v>
      </c>
      <c r="C53" s="8" t="s">
        <v>30</v>
      </c>
      <c r="D53" s="8" t="s">
        <v>11</v>
      </c>
      <c r="E53" s="8" t="s">
        <v>23</v>
      </c>
      <c r="F53" s="9" t="n">
        <v>71512</v>
      </c>
    </row>
    <row r="54" customFormat="false" ht="15" hidden="false" customHeight="false" outlineLevel="0" collapsed="false">
      <c r="B54" s="4" t="n">
        <v>46129</v>
      </c>
      <c r="C54" s="5" t="s">
        <v>30</v>
      </c>
      <c r="D54" s="5" t="s">
        <v>11</v>
      </c>
      <c r="E54" s="5" t="s">
        <v>23</v>
      </c>
      <c r="F54" s="6" t="n">
        <v>213612</v>
      </c>
    </row>
    <row r="55" customFormat="false" ht="15" hidden="false" customHeight="false" outlineLevel="0" collapsed="false">
      <c r="B55" s="7" t="n">
        <v>46131</v>
      </c>
      <c r="C55" s="8" t="s">
        <v>30</v>
      </c>
      <c r="D55" s="8" t="s">
        <v>13</v>
      </c>
      <c r="E55" s="8" t="s">
        <v>14</v>
      </c>
      <c r="F55" s="9" t="n">
        <v>86448</v>
      </c>
    </row>
    <row r="56" customFormat="false" ht="15" hidden="false" customHeight="false" outlineLevel="0" collapsed="false">
      <c r="B56" s="4" t="n">
        <v>46140</v>
      </c>
      <c r="C56" s="5" t="s">
        <v>30</v>
      </c>
      <c r="D56" s="5" t="s">
        <v>15</v>
      </c>
      <c r="E56" s="5" t="s">
        <v>20</v>
      </c>
      <c r="F56" s="6" t="n">
        <v>43799</v>
      </c>
    </row>
    <row r="57" customFormat="false" ht="15" hidden="false" customHeight="false" outlineLevel="0" collapsed="false">
      <c r="B57" s="7" t="n">
        <v>46146</v>
      </c>
      <c r="C57" s="8" t="s">
        <v>32</v>
      </c>
      <c r="D57" s="8" t="s">
        <v>8</v>
      </c>
      <c r="E57" s="8" t="s">
        <v>33</v>
      </c>
      <c r="F57" s="9" t="n">
        <v>170128</v>
      </c>
    </row>
    <row r="58" customFormat="false" ht="15" hidden="false" customHeight="false" outlineLevel="0" collapsed="false">
      <c r="B58" s="4" t="n">
        <v>46148</v>
      </c>
      <c r="C58" s="5" t="s">
        <v>32</v>
      </c>
      <c r="D58" s="5" t="s">
        <v>8</v>
      </c>
      <c r="E58" s="5" t="s">
        <v>33</v>
      </c>
      <c r="F58" s="6" t="n">
        <v>119729</v>
      </c>
    </row>
    <row r="59" customFormat="false" ht="15" hidden="false" customHeight="false" outlineLevel="0" collapsed="false">
      <c r="B59" s="7" t="n">
        <v>46150</v>
      </c>
      <c r="C59" s="8" t="s">
        <v>32</v>
      </c>
      <c r="D59" s="8" t="s">
        <v>15</v>
      </c>
      <c r="E59" s="8" t="s">
        <v>16</v>
      </c>
      <c r="F59" s="9" t="n">
        <v>214260</v>
      </c>
    </row>
    <row r="60" customFormat="false" ht="15" hidden="false" customHeight="false" outlineLevel="0" collapsed="false">
      <c r="B60" s="4" t="n">
        <v>46151</v>
      </c>
      <c r="C60" s="5" t="s">
        <v>32</v>
      </c>
      <c r="D60" s="5" t="s">
        <v>17</v>
      </c>
      <c r="E60" s="5" t="s">
        <v>34</v>
      </c>
      <c r="F60" s="6" t="n">
        <v>58105</v>
      </c>
    </row>
    <row r="61" customFormat="false" ht="15" hidden="false" customHeight="false" outlineLevel="0" collapsed="false">
      <c r="B61" s="7" t="n">
        <v>46153</v>
      </c>
      <c r="C61" s="8" t="s">
        <v>32</v>
      </c>
      <c r="D61" s="8" t="s">
        <v>17</v>
      </c>
      <c r="E61" s="8" t="s">
        <v>34</v>
      </c>
      <c r="F61" s="9" t="n">
        <v>199680</v>
      </c>
    </row>
    <row r="62" customFormat="false" ht="15" hidden="false" customHeight="false" outlineLevel="0" collapsed="false">
      <c r="B62" s="4" t="n">
        <v>46155</v>
      </c>
      <c r="C62" s="5" t="s">
        <v>32</v>
      </c>
      <c r="D62" s="5" t="s">
        <v>13</v>
      </c>
      <c r="E62" s="5" t="s">
        <v>22</v>
      </c>
      <c r="F62" s="6" t="n">
        <v>79374</v>
      </c>
    </row>
    <row r="63" customFormat="false" ht="15" hidden="false" customHeight="false" outlineLevel="0" collapsed="false">
      <c r="B63" s="7" t="n">
        <v>46157</v>
      </c>
      <c r="C63" s="8" t="s">
        <v>32</v>
      </c>
      <c r="D63" s="8" t="s">
        <v>13</v>
      </c>
      <c r="E63" s="8" t="s">
        <v>14</v>
      </c>
      <c r="F63" s="9" t="n">
        <v>121201</v>
      </c>
    </row>
    <row r="64" customFormat="false" ht="15" hidden="false" customHeight="false" outlineLevel="0" collapsed="false">
      <c r="B64" s="4" t="n">
        <v>46158</v>
      </c>
      <c r="C64" s="5" t="s">
        <v>32</v>
      </c>
      <c r="D64" s="5" t="s">
        <v>15</v>
      </c>
      <c r="E64" s="5" t="s">
        <v>19</v>
      </c>
      <c r="F64" s="6" t="n">
        <v>65595</v>
      </c>
    </row>
    <row r="65" customFormat="false" ht="15" hidden="false" customHeight="false" outlineLevel="0" collapsed="false">
      <c r="B65" s="7" t="n">
        <v>46159</v>
      </c>
      <c r="C65" s="8" t="s">
        <v>32</v>
      </c>
      <c r="D65" s="8" t="s">
        <v>26</v>
      </c>
      <c r="E65" s="8" t="s">
        <v>31</v>
      </c>
      <c r="F65" s="9" t="n">
        <v>119989</v>
      </c>
    </row>
    <row r="66" customFormat="false" ht="15" hidden="false" customHeight="false" outlineLevel="0" collapsed="false">
      <c r="B66" s="4" t="n">
        <v>46160</v>
      </c>
      <c r="C66" s="5" t="s">
        <v>32</v>
      </c>
      <c r="D66" s="5" t="s">
        <v>26</v>
      </c>
      <c r="E66" s="5" t="s">
        <v>28</v>
      </c>
      <c r="F66" s="6" t="n">
        <v>201906</v>
      </c>
    </row>
    <row r="67" customFormat="false" ht="15" hidden="false" customHeight="false" outlineLevel="0" collapsed="false">
      <c r="B67" s="7" t="n">
        <v>46161</v>
      </c>
      <c r="C67" s="8" t="s">
        <v>32</v>
      </c>
      <c r="D67" s="8" t="s">
        <v>15</v>
      </c>
      <c r="E67" s="8" t="s">
        <v>16</v>
      </c>
      <c r="F67" s="9" t="n">
        <v>52461</v>
      </c>
    </row>
    <row r="68" customFormat="false" ht="15" hidden="false" customHeight="false" outlineLevel="0" collapsed="false">
      <c r="B68" s="4" t="n">
        <v>46162</v>
      </c>
      <c r="C68" s="5" t="s">
        <v>32</v>
      </c>
      <c r="D68" s="5" t="s">
        <v>26</v>
      </c>
      <c r="E68" s="5" t="s">
        <v>31</v>
      </c>
      <c r="F68" s="6" t="n">
        <v>91851</v>
      </c>
    </row>
    <row r="69" customFormat="false" ht="15" hidden="false" customHeight="false" outlineLevel="0" collapsed="false">
      <c r="B69" s="7" t="n">
        <v>46163</v>
      </c>
      <c r="C69" s="8" t="s">
        <v>32</v>
      </c>
      <c r="D69" s="8" t="s">
        <v>17</v>
      </c>
      <c r="E69" s="8" t="s">
        <v>34</v>
      </c>
      <c r="F69" s="9" t="n">
        <v>70073</v>
      </c>
    </row>
    <row r="70" customFormat="false" ht="15" hidden="false" customHeight="false" outlineLevel="0" collapsed="false">
      <c r="B70" s="4" t="n">
        <v>46164</v>
      </c>
      <c r="C70" s="5" t="s">
        <v>32</v>
      </c>
      <c r="D70" s="5" t="s">
        <v>17</v>
      </c>
      <c r="E70" s="5" t="s">
        <v>18</v>
      </c>
      <c r="F70" s="6" t="n">
        <v>186867</v>
      </c>
    </row>
    <row r="71" customFormat="false" ht="15" hidden="false" customHeight="false" outlineLevel="0" collapsed="false">
      <c r="B71" s="7" t="n">
        <v>46170</v>
      </c>
      <c r="C71" s="8" t="s">
        <v>32</v>
      </c>
      <c r="D71" s="8" t="s">
        <v>17</v>
      </c>
      <c r="E71" s="8" t="s">
        <v>20</v>
      </c>
      <c r="F71" s="9" t="n">
        <v>28781</v>
      </c>
    </row>
    <row r="72" customFormat="false" ht="15" hidden="false" customHeight="false" outlineLevel="0" collapsed="false">
      <c r="B72" s="4" t="n">
        <v>46176</v>
      </c>
      <c r="C72" s="5" t="s">
        <v>35</v>
      </c>
      <c r="D72" s="5" t="s">
        <v>13</v>
      </c>
      <c r="E72" s="5" t="s">
        <v>14</v>
      </c>
      <c r="F72" s="6" t="n">
        <v>59730</v>
      </c>
    </row>
    <row r="73" customFormat="false" ht="15" hidden="false" customHeight="false" outlineLevel="0" collapsed="false">
      <c r="B73" s="7" t="n">
        <v>46177</v>
      </c>
      <c r="C73" s="8" t="s">
        <v>35</v>
      </c>
      <c r="D73" s="8" t="s">
        <v>15</v>
      </c>
      <c r="E73" s="8" t="s">
        <v>16</v>
      </c>
      <c r="F73" s="9" t="n">
        <v>55840</v>
      </c>
    </row>
    <row r="74" customFormat="false" ht="15" hidden="false" customHeight="false" outlineLevel="0" collapsed="false">
      <c r="B74" s="4" t="n">
        <v>46179</v>
      </c>
      <c r="C74" s="5" t="s">
        <v>35</v>
      </c>
      <c r="D74" s="5" t="s">
        <v>8</v>
      </c>
      <c r="E74" s="5" t="s">
        <v>33</v>
      </c>
      <c r="F74" s="6" t="n">
        <v>162325</v>
      </c>
    </row>
    <row r="75" customFormat="false" ht="15" hidden="false" customHeight="false" outlineLevel="0" collapsed="false">
      <c r="B75" s="7" t="n">
        <v>46181</v>
      </c>
      <c r="C75" s="8" t="s">
        <v>35</v>
      </c>
      <c r="D75" s="8" t="s">
        <v>13</v>
      </c>
      <c r="E75" s="8" t="s">
        <v>22</v>
      </c>
      <c r="F75" s="9" t="n">
        <v>180734</v>
      </c>
    </row>
    <row r="76" customFormat="false" ht="15" hidden="false" customHeight="false" outlineLevel="0" collapsed="false">
      <c r="B76" s="4" t="n">
        <v>46183</v>
      </c>
      <c r="C76" s="5" t="s">
        <v>35</v>
      </c>
      <c r="D76" s="5" t="s">
        <v>13</v>
      </c>
      <c r="E76" s="5" t="s">
        <v>14</v>
      </c>
      <c r="F76" s="6" t="n">
        <v>91425</v>
      </c>
    </row>
    <row r="77" customFormat="false" ht="15" hidden="false" customHeight="false" outlineLevel="0" collapsed="false">
      <c r="B77" s="7" t="n">
        <v>46184</v>
      </c>
      <c r="C77" s="8" t="s">
        <v>35</v>
      </c>
      <c r="D77" s="8" t="s">
        <v>15</v>
      </c>
      <c r="E77" s="8" t="s">
        <v>19</v>
      </c>
      <c r="F77" s="9" t="n">
        <v>30892</v>
      </c>
    </row>
    <row r="78" customFormat="false" ht="15" hidden="false" customHeight="false" outlineLevel="0" collapsed="false">
      <c r="B78" s="4" t="n">
        <v>46186</v>
      </c>
      <c r="C78" s="5" t="s">
        <v>35</v>
      </c>
      <c r="D78" s="5" t="s">
        <v>8</v>
      </c>
      <c r="E78" s="5" t="s">
        <v>9</v>
      </c>
      <c r="F78" s="6" t="n">
        <v>60909</v>
      </c>
    </row>
    <row r="79" customFormat="false" ht="15" hidden="false" customHeight="false" outlineLevel="0" collapsed="false">
      <c r="B79" s="7" t="n">
        <v>46187</v>
      </c>
      <c r="C79" s="8" t="s">
        <v>35</v>
      </c>
      <c r="D79" s="8" t="s">
        <v>13</v>
      </c>
      <c r="E79" s="8" t="s">
        <v>14</v>
      </c>
      <c r="F79" s="9" t="n">
        <v>112863</v>
      </c>
    </row>
    <row r="80" customFormat="false" ht="15" hidden="false" customHeight="false" outlineLevel="0" collapsed="false">
      <c r="B80" s="4" t="n">
        <v>46188</v>
      </c>
      <c r="C80" s="5" t="s">
        <v>35</v>
      </c>
      <c r="D80" s="5" t="s">
        <v>11</v>
      </c>
      <c r="E80" s="5" t="s">
        <v>23</v>
      </c>
      <c r="F80" s="6" t="n">
        <v>117090</v>
      </c>
    </row>
    <row r="81" customFormat="false" ht="15" hidden="false" customHeight="false" outlineLevel="0" collapsed="false">
      <c r="B81" s="7" t="n">
        <v>46190</v>
      </c>
      <c r="C81" s="8" t="s">
        <v>35</v>
      </c>
      <c r="D81" s="8" t="s">
        <v>8</v>
      </c>
      <c r="E81" s="8" t="s">
        <v>33</v>
      </c>
      <c r="F81" s="9" t="n">
        <v>104579</v>
      </c>
    </row>
    <row r="82" customFormat="false" ht="15" hidden="false" customHeight="false" outlineLevel="0" collapsed="false">
      <c r="B82" s="4" t="n">
        <v>46192</v>
      </c>
      <c r="C82" s="5" t="s">
        <v>35</v>
      </c>
      <c r="D82" s="5" t="s">
        <v>26</v>
      </c>
      <c r="E82" s="5" t="s">
        <v>31</v>
      </c>
      <c r="F82" s="6" t="n">
        <v>66640</v>
      </c>
    </row>
    <row r="83" customFormat="false" ht="15" hidden="false" customHeight="false" outlineLevel="0" collapsed="false">
      <c r="B83" s="7" t="n">
        <v>46193</v>
      </c>
      <c r="C83" s="8" t="s">
        <v>35</v>
      </c>
      <c r="D83" s="8" t="s">
        <v>13</v>
      </c>
      <c r="E83" s="8" t="s">
        <v>14</v>
      </c>
      <c r="F83" s="9" t="n">
        <v>171881</v>
      </c>
    </row>
    <row r="84" customFormat="false" ht="15" hidden="false" customHeight="false" outlineLevel="0" collapsed="false">
      <c r="B84" s="4" t="n">
        <v>46195</v>
      </c>
      <c r="C84" s="5" t="s">
        <v>35</v>
      </c>
      <c r="D84" s="5" t="s">
        <v>17</v>
      </c>
      <c r="E84" s="5" t="s">
        <v>18</v>
      </c>
      <c r="F84" s="6" t="n">
        <v>40614</v>
      </c>
    </row>
    <row r="85" customFormat="false" ht="15" hidden="false" customHeight="false" outlineLevel="0" collapsed="false">
      <c r="B85" s="7" t="n">
        <v>46196</v>
      </c>
      <c r="C85" s="8" t="s">
        <v>35</v>
      </c>
      <c r="D85" s="8" t="s">
        <v>13</v>
      </c>
      <c r="E85" s="8" t="s">
        <v>14</v>
      </c>
      <c r="F85" s="9" t="n">
        <v>54340</v>
      </c>
    </row>
    <row r="86" customFormat="false" ht="15" hidden="false" customHeight="false" outlineLevel="0" collapsed="false">
      <c r="B86" s="4" t="n">
        <v>46197</v>
      </c>
      <c r="C86" s="5" t="s">
        <v>35</v>
      </c>
      <c r="D86" s="5" t="s">
        <v>8</v>
      </c>
      <c r="E86" s="5" t="s">
        <v>33</v>
      </c>
      <c r="F86" s="6" t="n">
        <v>175805</v>
      </c>
    </row>
    <row r="87" customFormat="false" ht="15" hidden="false" customHeight="false" outlineLevel="0" collapsed="false">
      <c r="B87" s="7" t="n">
        <v>46198</v>
      </c>
      <c r="C87" s="8" t="s">
        <v>35</v>
      </c>
      <c r="D87" s="8" t="s">
        <v>26</v>
      </c>
      <c r="E87" s="8" t="s">
        <v>27</v>
      </c>
      <c r="F87" s="9" t="n">
        <v>97418</v>
      </c>
    </row>
    <row r="88" customFormat="false" ht="15" hidden="false" customHeight="false" outlineLevel="0" collapsed="false">
      <c r="B88" s="4" t="n">
        <v>46200</v>
      </c>
      <c r="C88" s="5" t="s">
        <v>35</v>
      </c>
      <c r="D88" s="5" t="s">
        <v>8</v>
      </c>
      <c r="E88" s="5" t="s">
        <v>9</v>
      </c>
      <c r="F88" s="6" t="n">
        <v>176610</v>
      </c>
    </row>
    <row r="89" customFormat="false" ht="15" hidden="false" customHeight="false" outlineLevel="0" collapsed="false">
      <c r="B89" s="7" t="n">
        <v>46201</v>
      </c>
      <c r="C89" s="8" t="s">
        <v>35</v>
      </c>
      <c r="D89" s="8" t="s">
        <v>13</v>
      </c>
      <c r="E89" s="8" t="s">
        <v>14</v>
      </c>
      <c r="F89" s="9" t="n">
        <v>162248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15" hidden="false" customHeight="false" outlineLevel="0" collapsed="false">
      <c r="B5" s="10" t="s">
        <v>38</v>
      </c>
      <c r="C5" s="10"/>
    </row>
    <row r="6" customFormat="false" ht="15" hidden="false" customHeight="false" outlineLevel="0" collapsed="false">
      <c r="B6" s="11" t="s">
        <v>4</v>
      </c>
      <c r="C6" s="11" t="s">
        <v>39</v>
      </c>
    </row>
    <row r="7" customFormat="false" ht="15" hidden="false" customHeight="false" outlineLevel="0" collapsed="false">
      <c r="B7" s="5" t="s">
        <v>11</v>
      </c>
      <c r="C7" s="6" t="n">
        <f aca="false">SUMIF(Datos!$D$6:$D$89,B7,Datos!$F$6:$F$89)</f>
        <v>1956170</v>
      </c>
    </row>
    <row r="8" customFormat="false" ht="15" hidden="false" customHeight="false" outlineLevel="0" collapsed="false">
      <c r="B8" s="8" t="s">
        <v>8</v>
      </c>
      <c r="C8" s="9" t="n">
        <f aca="false">SUMIF(Datos!$D$6:$D$89,B8,Datos!$F$6:$F$89)</f>
        <v>2071256</v>
      </c>
    </row>
    <row r="9" customFormat="false" ht="15" hidden="false" customHeight="false" outlineLevel="0" collapsed="false">
      <c r="B9" s="5" t="s">
        <v>13</v>
      </c>
      <c r="C9" s="6" t="n">
        <f aca="false">SUMIF(Datos!$D$6:$D$89,B9,Datos!$F$6:$F$89)</f>
        <v>2158767</v>
      </c>
    </row>
    <row r="10" customFormat="false" ht="15" hidden="false" customHeight="false" outlineLevel="0" collapsed="false">
      <c r="B10" s="8" t="s">
        <v>26</v>
      </c>
      <c r="C10" s="9" t="n">
        <f aca="false">SUMIF(Datos!$D$6:$D$89,B10,Datos!$F$6:$F$89)</f>
        <v>849844</v>
      </c>
    </row>
    <row r="11" customFormat="false" ht="15" hidden="false" customHeight="false" outlineLevel="0" collapsed="false">
      <c r="B11" s="5" t="s">
        <v>17</v>
      </c>
      <c r="C11" s="6" t="n">
        <f aca="false">SUMIF(Datos!$D$6:$D$89,B11,Datos!$F$6:$F$89)</f>
        <v>1469050</v>
      </c>
    </row>
    <row r="12" customFormat="false" ht="15" hidden="false" customHeight="false" outlineLevel="0" collapsed="false">
      <c r="B12" s="8" t="s">
        <v>15</v>
      </c>
      <c r="C12" s="9" t="n">
        <f aca="false">SUMIF(Datos!$D$6:$D$89,B12,Datos!$F$6:$F$89)</f>
        <v>1466856</v>
      </c>
    </row>
    <row r="15" customFormat="false" ht="15" hidden="false" customHeight="false" outlineLevel="0" collapsed="false">
      <c r="B15" s="10" t="s">
        <v>40</v>
      </c>
      <c r="C15" s="10"/>
      <c r="D15" s="10"/>
    </row>
    <row r="16" customFormat="false" ht="15" hidden="false" customHeight="false" outlineLevel="0" collapsed="false">
      <c r="B16" s="11" t="s">
        <v>3</v>
      </c>
      <c r="C16" s="11" t="s">
        <v>41</v>
      </c>
      <c r="D16" s="11" t="s">
        <v>42</v>
      </c>
    </row>
    <row r="17" customFormat="false" ht="15" hidden="false" customHeight="false" outlineLevel="0" collapsed="false">
      <c r="B17" s="5" t="s">
        <v>7</v>
      </c>
      <c r="C17" s="5" t="n">
        <v>1</v>
      </c>
      <c r="D17" s="6" t="n">
        <f aca="false">SUMIFS(Datos!$F$6:$F$89,Datos!$B$6:$B$89,"&gt;="&amp;DATE(2026,1,1),Datos!$B$6:$B$89,"&lt;="&amp;DATE(2026,1,28))</f>
        <v>1450000</v>
      </c>
    </row>
    <row r="18" customFormat="false" ht="15" hidden="false" customHeight="false" outlineLevel="0" collapsed="false">
      <c r="B18" s="5" t="s">
        <v>21</v>
      </c>
      <c r="C18" s="5" t="n">
        <v>2</v>
      </c>
      <c r="D18" s="6" t="n">
        <f aca="false">SUMIFS(Datos!$F$6:$F$89,Datos!$B$6:$B$89,"&gt;="&amp;DATE(2026,2,1),Datos!$B$6:$B$89,"&lt;="&amp;DATE(2026,2,28))</f>
        <v>1520000</v>
      </c>
    </row>
    <row r="19" customFormat="false" ht="15" hidden="false" customHeight="false" outlineLevel="0" collapsed="false">
      <c r="B19" s="5" t="s">
        <v>24</v>
      </c>
      <c r="C19" s="5" t="n">
        <v>3</v>
      </c>
      <c r="D19" s="6" t="n">
        <f aca="false">SUMIFS(Datos!$F$6:$F$89,Datos!$B$6:$B$89,"&gt;="&amp;DATE(2026,3,1),Datos!$B$6:$B$89,"&lt;="&amp;DATE(2026,3,28))</f>
        <v>1610000</v>
      </c>
    </row>
    <row r="20" customFormat="false" ht="15" hidden="false" customHeight="false" outlineLevel="0" collapsed="false">
      <c r="B20" s="5" t="s">
        <v>30</v>
      </c>
      <c r="C20" s="5" t="n">
        <v>4</v>
      </c>
      <c r="D20" s="6" t="n">
        <f aca="false">SUMIFS(Datos!$F$6:$F$89,Datos!$B$6:$B$89,"&gt;="&amp;DATE(2026,4,1),Datos!$B$6:$B$89,"&lt;="&amp;DATE(2026,4,28))</f>
        <v>1690000</v>
      </c>
    </row>
    <row r="21" customFormat="false" ht="15" hidden="false" customHeight="false" outlineLevel="0" collapsed="false">
      <c r="B21" s="5" t="s">
        <v>32</v>
      </c>
      <c r="C21" s="5" t="n">
        <v>5</v>
      </c>
      <c r="D21" s="6" t="n">
        <f aca="false">SUMIFS(Datos!$F$6:$F$89,Datos!$B$6:$B$89,"&gt;="&amp;DATE(2026,5,1),Datos!$B$6:$B$89,"&lt;="&amp;DATE(2026,5,28))</f>
        <v>1780000</v>
      </c>
    </row>
    <row r="22" customFormat="false" ht="15" hidden="false" customHeight="false" outlineLevel="0" collapsed="false">
      <c r="B22" s="5" t="s">
        <v>35</v>
      </c>
      <c r="C22" s="5" t="n">
        <v>6</v>
      </c>
      <c r="D22" s="6" t="n">
        <f aca="false">SUMIFS(Datos!$F$6:$F$89,Datos!$B$6:$B$89,"&gt;="&amp;DATE(2026,6,1),Datos!$B$6:$B$89,"&lt;="&amp;DATE(2026,6,28))</f>
        <v>1921943</v>
      </c>
    </row>
    <row r="23" customFormat="false" ht="15" hidden="false" customHeight="false" outlineLevel="0" collapsed="false">
      <c r="B23" s="12" t="s">
        <v>43</v>
      </c>
      <c r="C23" s="12" t="n">
        <v>7</v>
      </c>
      <c r="D23" s="13" t="n">
        <f aca="false">FORECAST(C23,$D$17:$D$22,$C$17:$C$22)</f>
        <v>1983962</v>
      </c>
    </row>
    <row r="25" customFormat="false" ht="15" hidden="false" customHeight="false" outlineLevel="0" collapsed="false">
      <c r="B25" s="14" t="s">
        <v>44</v>
      </c>
    </row>
    <row r="26" customFormat="false" ht="15" hidden="false" customHeight="true" outlineLevel="0" collapsed="false">
      <c r="B26" s="15" t="s">
        <v>45</v>
      </c>
      <c r="C26" s="15"/>
      <c r="D26" s="15"/>
      <c r="E26" s="15"/>
      <c r="F26" s="15"/>
    </row>
    <row r="27" customFormat="false" ht="15" hidden="false" customHeight="false" outlineLevel="0" collapsed="false">
      <c r="B27" s="15"/>
      <c r="C27" s="15"/>
      <c r="D27" s="15"/>
      <c r="E27" s="15"/>
      <c r="F27" s="15"/>
    </row>
    <row r="28" customFormat="false" ht="15" hidden="false" customHeight="false" outlineLevel="0" collapsed="false">
      <c r="B28" s="15"/>
      <c r="C28" s="15"/>
      <c r="D28" s="15"/>
      <c r="E28" s="15"/>
      <c r="F28" s="15"/>
    </row>
  </sheetData>
  <mergeCells count="3">
    <mergeCell ref="B5:C5"/>
    <mergeCell ref="B15:D15"/>
    <mergeCell ref="B26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46</v>
      </c>
    </row>
    <row r="4" customFormat="false" ht="15" hidden="false" customHeight="false" outlineLevel="0" collapsed="false">
      <c r="B4" s="16" t="s">
        <v>47</v>
      </c>
    </row>
    <row r="5" customFormat="false" ht="45" hidden="false" customHeight="true" outlineLevel="0" collapsed="false">
      <c r="B5" s="15" t="s">
        <v>48</v>
      </c>
      <c r="C5" s="15"/>
      <c r="D5" s="15"/>
      <c r="E5" s="15"/>
      <c r="F5" s="15"/>
      <c r="G5" s="15"/>
    </row>
    <row r="7" customFormat="false" ht="15" hidden="false" customHeight="false" outlineLevel="0" collapsed="false">
      <c r="B7" s="16" t="s">
        <v>49</v>
      </c>
    </row>
    <row r="8" customFormat="false" ht="45" hidden="false" customHeight="true" outlineLevel="0" collapsed="false">
      <c r="B8" s="15" t="s">
        <v>50</v>
      </c>
      <c r="C8" s="15"/>
      <c r="D8" s="15"/>
      <c r="E8" s="15"/>
      <c r="F8" s="15"/>
      <c r="G8" s="15"/>
    </row>
    <row r="10" customFormat="false" ht="15" hidden="false" customHeight="false" outlineLevel="0" collapsed="false">
      <c r="B10" s="16" t="s">
        <v>51</v>
      </c>
    </row>
    <row r="11" customFormat="false" ht="45" hidden="false" customHeight="true" outlineLevel="0" collapsed="false">
      <c r="B11" s="15" t="s">
        <v>52</v>
      </c>
      <c r="C11" s="15"/>
      <c r="D11" s="15"/>
      <c r="E11" s="15"/>
      <c r="F11" s="15"/>
      <c r="G11" s="15"/>
    </row>
    <row r="13" customFormat="false" ht="15" hidden="false" customHeight="false" outlineLevel="0" collapsed="false">
      <c r="B13" s="16" t="s">
        <v>53</v>
      </c>
    </row>
    <row r="14" customFormat="false" ht="45" hidden="false" customHeight="true" outlineLevel="0" collapsed="false">
      <c r="B14" s="15" t="s">
        <v>54</v>
      </c>
      <c r="C14" s="15"/>
      <c r="D14" s="15"/>
      <c r="E14" s="15"/>
      <c r="F14" s="15"/>
      <c r="G14" s="15"/>
    </row>
    <row r="16" customFormat="false" ht="15" hidden="false" customHeight="false" outlineLevel="0" collapsed="false">
      <c r="B16" s="16" t="s">
        <v>55</v>
      </c>
    </row>
    <row r="17" customFormat="false" ht="45" hidden="false" customHeight="true" outlineLevel="0" collapsed="false">
      <c r="B17" s="15" t="s">
        <v>56</v>
      </c>
      <c r="C17" s="15"/>
      <c r="D17" s="15"/>
      <c r="E17" s="15"/>
      <c r="F17" s="15"/>
      <c r="G17" s="15"/>
    </row>
    <row r="19" customFormat="false" ht="15" hidden="false" customHeight="false" outlineLevel="0" collapsed="false">
      <c r="B19" s="16" t="s">
        <v>57</v>
      </c>
    </row>
    <row r="20" customFormat="false" ht="45" hidden="false" customHeight="true" outlineLevel="0" collapsed="false">
      <c r="B20" s="15" t="s">
        <v>58</v>
      </c>
      <c r="C20" s="15"/>
      <c r="D20" s="15"/>
      <c r="E20" s="15"/>
      <c r="F20" s="15"/>
      <c r="G20" s="15"/>
    </row>
  </sheetData>
  <mergeCells count="6">
    <mergeCell ref="B5:G5"/>
    <mergeCell ref="B8:G8"/>
    <mergeCell ref="B11:G11"/>
    <mergeCell ref="B14:G14"/>
    <mergeCell ref="B17:G17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2026-09-27T19:03:29Z</dcterms:created>
  <dc:creator>openpyxl</dc:creator>
  <dc:description/>
  <dc:language>en-US</dc:language>
  <cp:lastModifiedBy/>
  <dcterms:modified xsi:type="dcterms:W3CDTF">2026-09-27T19:03:33Z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