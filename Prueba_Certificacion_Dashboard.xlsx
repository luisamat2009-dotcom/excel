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Fórmulas" sheetId="2" state="visible" r:id="rId4"/>
    <sheet name="Dashboard" sheetId="3" state="visible" r:id="rId5"/>
    <sheet name="Documentació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<sst xmlns="http://schemas.openxmlformats.org/spreadsheetml/2006/main" count="413" uniqueCount="76">
  <si>
    <t xml:space="preserve">Dashboard de Finanzas Personales — Datos</t>
  </si>
  <si>
    <t xml:space="preserve">Datos organizados y limpios: enero a junio de 2026</t>
  </si>
  <si>
    <t xml:space="preserve">Fecha</t>
  </si>
  <si>
    <t xml:space="preserve">Mes</t>
  </si>
  <si>
    <t xml:space="preserve">Tipo</t>
  </si>
  <si>
    <t xml:space="preserve">Categoría</t>
  </si>
  <si>
    <t xml:space="preserve">Descripción</t>
  </si>
  <si>
    <t xml:space="preserve">Monto</t>
  </si>
  <si>
    <t xml:space="preserve">Enero</t>
  </si>
  <si>
    <t xml:space="preserve">Ingreso</t>
  </si>
  <si>
    <t xml:space="preserve">Ingresos</t>
  </si>
  <si>
    <t xml:space="preserve">Salario</t>
  </si>
  <si>
    <t xml:space="preserve">Gasto</t>
  </si>
  <si>
    <t xml:space="preserve">Entretenimiento</t>
  </si>
  <si>
    <t xml:space="preserve">Cine</t>
  </si>
  <si>
    <t xml:space="preserve">Vivienda</t>
  </si>
  <si>
    <t xml:space="preserve">Administración</t>
  </si>
  <si>
    <t xml:space="preserve">Salud</t>
  </si>
  <si>
    <t xml:space="preserve">Gimnasio</t>
  </si>
  <si>
    <t xml:space="preserve">Servicios</t>
  </si>
  <si>
    <t xml:space="preserve">Energía</t>
  </si>
  <si>
    <t xml:space="preserve">Alimentación</t>
  </si>
  <si>
    <t xml:space="preserve">Domicilio comida</t>
  </si>
  <si>
    <t xml:space="preserve">Mercado</t>
  </si>
  <si>
    <t xml:space="preserve">Transporte</t>
  </si>
  <si>
    <t xml:space="preserve">Otros gastos</t>
  </si>
  <si>
    <t xml:space="preserve">Febrero</t>
  </si>
  <si>
    <t xml:space="preserve">Arriendo</t>
  </si>
  <si>
    <t xml:space="preserve">Streaming</t>
  </si>
  <si>
    <t xml:space="preserve">Medicamentos</t>
  </si>
  <si>
    <t xml:space="preserve">Restaurante</t>
  </si>
  <si>
    <t xml:space="preserve">Ingreso extra</t>
  </si>
  <si>
    <t xml:space="preserve">Gasolina</t>
  </si>
  <si>
    <t xml:space="preserve">Celular</t>
  </si>
  <si>
    <t xml:space="preserve">Salida amigos</t>
  </si>
  <si>
    <t xml:space="preserve">Internet</t>
  </si>
  <si>
    <t xml:space="preserve">Marzo</t>
  </si>
  <si>
    <t xml:space="preserve">Abril</t>
  </si>
  <si>
    <t xml:space="preserve">Transporte público</t>
  </si>
  <si>
    <t xml:space="preserve">Uber</t>
  </si>
  <si>
    <t xml:space="preserve">Mayo</t>
  </si>
  <si>
    <t xml:space="preserve">Junio</t>
  </si>
  <si>
    <t xml:space="preserve">Fórmulas automatizadas</t>
  </si>
  <si>
    <t xml:space="preserve">Estas celdas alimentan el Dashboard; se recalculan solas si cambian los datos.</t>
  </si>
  <si>
    <t xml:space="preserve">Indicador</t>
  </si>
  <si>
    <t xml:space="preserve">Valor</t>
  </si>
  <si>
    <t xml:space="preserve">Total ingresos</t>
  </si>
  <si>
    <t xml:space="preserve">Total gastos</t>
  </si>
  <si>
    <t xml:space="preserve">Balance (ingresos - gastos)</t>
  </si>
  <si>
    <t xml:space="preserve">Gasto por categoría</t>
  </si>
  <si>
    <t xml:space="preserve">Total</t>
  </si>
  <si>
    <t xml:space="preserve">Categoría con mayor gasto</t>
  </si>
  <si>
    <t xml:space="preserve">Resumen mensual</t>
  </si>
  <si>
    <t xml:space="preserve">Gastos</t>
  </si>
  <si>
    <t xml:space="preserve">Balance</t>
  </si>
  <si>
    <t xml:space="preserve">N° mes</t>
  </si>
  <si>
    <t xml:space="preserve">Proyección de gasto — Julio (FORECAST)</t>
  </si>
  <si>
    <t xml:space="preserve">Dashboard — Control de Finanzas Personales</t>
  </si>
  <si>
    <t xml:space="preserve">Se actualiza automáticamente al cambiar los datos de la hoja 'Datos'</t>
  </si>
  <si>
    <t xml:space="preserve">TOTAL INGRESOS</t>
  </si>
  <si>
    <t xml:space="preserve">TOTAL GASTOS</t>
  </si>
  <si>
    <t xml:space="preserve">BALANCE</t>
  </si>
  <si>
    <t xml:space="preserve">PROYECCIÓN JULIO</t>
  </si>
  <si>
    <t xml:space="preserve">Categoría con mayor gasto:</t>
  </si>
  <si>
    <t xml:space="preserve">Nota: para segmentar el dashboard de forma interactiva (por mes o categoría) desde Excel, selecciona los datos de 'Datos' → Insertar → Tabla dinámica, y luego Insertar → Segmentación de datos. Este archivo deja las fórmulas y gráficos listos como base.</t>
  </si>
  <si>
    <t xml:space="preserve">Documentación del Proyecto Final</t>
  </si>
  <si>
    <t xml:space="preserve">Problema</t>
  </si>
  <si>
    <t xml:space="preserve">Necesidad de controlar y proyectar las finanzas personales mes a mes: saber cuánto ingresa, cuánto se gasta, en qué categorías, y anticipar el próximo mes.</t>
  </si>
  <si>
    <t xml:space="preserve">Fuente de datos</t>
  </si>
  <si>
    <t xml:space="preserve">Registro propio de transacciones (enero–junio 2026), limpio y estandarizado en la hoja 'Datos' con columnas Fecha, Mes, Tipo, Categoría, Descripción y Monto.</t>
  </si>
  <si>
    <t xml:space="preserve">Herramientas y fórmulas usadas</t>
  </si>
  <si>
    <t xml:space="preserve">SUMIF / SUMIFS para totales por tipo, categoría y mes. INDEX + MATCH + MAX para identificar la categoría con mayor gasto. FORECAST (función predictiva) para proyectar el gasto de julio. Gráficos de barras, líneas y pastel enlazados por fórmula al motor de cálculo de la hoja 'Fórmulas'.</t>
  </si>
  <si>
    <t xml:space="preserve">Dashboard</t>
  </si>
  <si>
    <t xml:space="preserve">La hoja 'Dashboard' resume 4 indicadores clave (ingresos, gastos, balance, proyección) y 3 visualizaciones (gasto por categoría, ingresos vs. gastos por mes, distribución del gasto). Todo se recalcula automáticamente al cambiar los datos.</t>
  </si>
  <si>
    <t xml:space="preserve">Conclusiones</t>
  </si>
  <si>
    <t xml:space="preserve">El balance mensual es positivo pero se estrecha porque el gasto crece más rápido que el ingreso. 'Vivienda' y 'Transporte' concentran la mayor parte del gasto. La proyección para julio sugiere reforzar el control de presupuesto si la tendencia continúa.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</si>
</sst>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E7C7B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0E7C7B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F2F2F2"/>
        <bgColor rgb="FFF9F9F9"/>
      </patternFill>
    </fill>
    <fill>
      <patternFill patternType="solid">
        <fgColor rgb="FF0E7C7B"/>
        <bgColor rgb="FF008080"/>
      </patternFill>
    </fill>
    <fill>
      <patternFill patternType="solid">
        <fgColor rgb="FF375623"/>
        <bgColor rgb="FF595959"/>
      </patternFill>
    </fill>
    <fill>
      <patternFill patternType="solid">
        <fgColor rgb="FF9C2222"/>
        <bgColor rgb="FFAA433F"/>
      </patternFill>
    </fill>
    <fill>
      <patternFill patternType="solid">
        <fgColor rgb="FFBF8F00"/>
        <bgColor rgb="FFF79646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8F00"/>
      <rgbColor rgb="FF800080"/>
      <rgbColor rgb="FF0E7C7B"/>
      <rgbColor rgb="FFB7B7B7"/>
      <rgbColor rgb="FF808080"/>
      <rgbColor rgb="FF9999FF"/>
      <rgbColor rgb="FFAA433F"/>
      <rgbColor rgb="FFF9F9F9"/>
      <rgbColor rgb="FFDDEBF7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878787"/>
      <rgbColor rgb="FF1F3864"/>
      <rgbColor rgb="FF339966"/>
      <rgbColor rgb="FF003300"/>
      <rgbColor rgb="FF333300"/>
      <rgbColor rgb="FF9C2222"/>
      <rgbColor rgb="FFC0504D"/>
      <rgbColor rgb="FF59595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Fórmulas!C12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Fórmulas!$B$13:$B$18</c:f>
              <c:strCache>
                <c:ptCount val="6"/>
                <c:pt idx="0">
                  <c:v>Alimentación</c:v>
                </c:pt>
                <c:pt idx="1">
                  <c:v>Transporte</c:v>
                </c:pt>
                <c:pt idx="2">
                  <c:v>Vivienda</c:v>
                </c:pt>
                <c:pt idx="3">
                  <c:v>Servicios</c:v>
                </c:pt>
                <c:pt idx="4">
                  <c:v>Entretenimiento</c:v>
                </c:pt>
                <c:pt idx="5">
                  <c:v>Salud</c:v>
                </c:pt>
              </c:strCache>
            </c:strRef>
          </c:cat>
          <c:val>
            <c:numRef>
              <c:f>Fórmulas!$C$13:$C$18</c:f>
              <c:numCache>
                <c:formatCode>\$#,##0</c:formatCode>
                <c:ptCount val="6"/>
                <c:pt idx="0">
                  <c:v>1546119</c:v>
                </c:pt>
                <c:pt idx="1">
                  <c:v>1435343</c:v>
                </c:pt>
                <c:pt idx="2">
                  <c:v>1401248</c:v>
                </c:pt>
                <c:pt idx="3">
                  <c:v>2261192</c:v>
                </c:pt>
                <c:pt idx="4">
                  <c:v>1636704</c:v>
                </c:pt>
                <c:pt idx="5">
                  <c:v>1665960</c:v>
                </c:pt>
              </c:numCache>
            </c:numRef>
          </c:val>
        </c:ser>
        <c:gapWidth val="150"/>
        <c:overlap val="0"/>
        <c:axId val="66176665"/>
        <c:axId val="84676772"/>
      </c:barChart>
      <c:catAx>
        <c:axId val="66176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76772"/>
        <c:crosses val="autoZero"/>
        <c:auto val="1"/>
        <c:lblAlgn val="ctr"/>
        <c:lblOffset val="100"/>
        <c:noMultiLvlLbl val="0"/>
      </c:catAx>
      <c:valAx>
        <c:axId val="84676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766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vs. gastos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Fórmulas!C24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Fórmulas!$B$25:$B$30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Fórmulas!$C$25:$C$30</c:f>
              <c:numCache>
                <c:formatCode>\$#,##0</c:formatCode>
                <c:ptCount val="6"/>
                <c:pt idx="0">
                  <c:v>3200000</c:v>
                </c:pt>
                <c:pt idx="1">
                  <c:v>3400000</c:v>
                </c:pt>
                <c:pt idx="2">
                  <c:v>3200000</c:v>
                </c:pt>
                <c:pt idx="3">
                  <c:v>3400000</c:v>
                </c:pt>
                <c:pt idx="4">
                  <c:v>3200000</c:v>
                </c:pt>
                <c:pt idx="5">
                  <c:v>3400000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Fórmulas!D24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Fórmulas!$B$25:$B$30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Fórmulas!$D$25:$D$30</c:f>
              <c:numCache>
                <c:formatCode>\$#,##0</c:formatCode>
                <c:ptCount val="6"/>
                <c:pt idx="0">
                  <c:v>1450000</c:v>
                </c:pt>
                <c:pt idx="1">
                  <c:v>1520000</c:v>
                </c:pt>
                <c:pt idx="2">
                  <c:v>1610000</c:v>
                </c:pt>
                <c:pt idx="3">
                  <c:v>1690000</c:v>
                </c:pt>
                <c:pt idx="4">
                  <c:v>1780000</c:v>
                </c:pt>
                <c:pt idx="5">
                  <c:v>1896566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585712"/>
        <c:axId val="12089223"/>
      </c:lineChart>
      <c:catAx>
        <c:axId val="9058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89223"/>
        <c:crosses val="autoZero"/>
        <c:auto val="1"/>
        <c:lblAlgn val="ctr"/>
        <c:lblOffset val="100"/>
        <c:noMultiLvlLbl val="0"/>
      </c:catAx>
      <c:valAx>
        <c:axId val="12089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857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del gasto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Fórmulas!C12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Fórmulas!$B$13:$B$18</c:f>
              <c:strCache>
                <c:ptCount val="6"/>
                <c:pt idx="0">
                  <c:v>Alimentación</c:v>
                </c:pt>
                <c:pt idx="1">
                  <c:v>Transporte</c:v>
                </c:pt>
                <c:pt idx="2">
                  <c:v>Vivienda</c:v>
                </c:pt>
                <c:pt idx="3">
                  <c:v>Servicios</c:v>
                </c:pt>
                <c:pt idx="4">
                  <c:v>Entretenimiento</c:v>
                </c:pt>
                <c:pt idx="5">
                  <c:v>Salud</c:v>
                </c:pt>
              </c:strCache>
            </c:strRef>
          </c:cat>
          <c:val>
            <c:numRef>
              <c:f>Fórmulas!$C$13:$C$18</c:f>
              <c:numCache>
                <c:formatCode>\$#,##0</c:formatCode>
                <c:ptCount val="6"/>
                <c:pt idx="0">
                  <c:v>1546119</c:v>
                </c:pt>
                <c:pt idx="1">
                  <c:v>1435343</c:v>
                </c:pt>
                <c:pt idx="2">
                  <c:v>1401248</c:v>
                </c:pt>
                <c:pt idx="3">
                  <c:v>2261192</c:v>
                </c:pt>
                <c:pt idx="4">
                  <c:v>1636704</c:v>
                </c:pt>
                <c:pt idx="5">
                  <c:v>1665960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100800</xdr:rowOff>
    </xdr:from>
    <xdr:to>
      <xdr:col>6</xdr:col>
      <xdr:colOff>458280</xdr:colOff>
      <xdr:row>25</xdr:row>
      <xdr:rowOff>123120</xdr:rowOff>
    </xdr:to>
    <xdr:graphicFrame>
      <xdr:nvGraphicFramePr>
        <xdr:cNvPr id="0" name="Chart 1"/>
        <xdr:cNvGraphicFramePr/>
      </xdr:nvGraphicFramePr>
      <xdr:xfrm>
        <a:off x="141120" y="24573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100800</xdr:rowOff>
    </xdr:from>
    <xdr:to>
      <xdr:col>11</xdr:col>
      <xdr:colOff>151560</xdr:colOff>
      <xdr:row>25</xdr:row>
      <xdr:rowOff>123120</xdr:rowOff>
    </xdr:to>
    <xdr:graphicFrame>
      <xdr:nvGraphicFramePr>
        <xdr:cNvPr id="1" name="Chart 2"/>
        <xdr:cNvGraphicFramePr/>
      </xdr:nvGraphicFramePr>
      <xdr:xfrm>
        <a:off x="3806280" y="24573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100800</xdr:rowOff>
    </xdr:from>
    <xdr:to>
      <xdr:col>6</xdr:col>
      <xdr:colOff>458280</xdr:colOff>
      <xdr:row>42</xdr:row>
      <xdr:rowOff>123120</xdr:rowOff>
    </xdr:to>
    <xdr:graphicFrame>
      <xdr:nvGraphicFramePr>
        <xdr:cNvPr id="2" name="Chart 3"/>
        <xdr:cNvGraphicFramePr/>
      </xdr:nvGraphicFramePr>
      <xdr:xfrm>
        <a:off x="141120" y="56959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customFormat="false" ht="15" hidden="false" customHeight="false" outlineLevel="0" collapsed="false">
      <c r="B6" s="4" t="n">
        <v>46023</v>
      </c>
      <c r="C6" s="5" t="s">
        <v>8</v>
      </c>
      <c r="D6" s="5" t="s">
        <v>9</v>
      </c>
      <c r="E6" s="5" t="s">
        <v>10</v>
      </c>
      <c r="F6" s="5" t="s">
        <v>11</v>
      </c>
      <c r="G6" s="6" t="n">
        <v>3200000</v>
      </c>
    </row>
    <row r="7" customFormat="false" ht="15" hidden="false" customHeight="false" outlineLevel="0" collapsed="false">
      <c r="B7" s="7" t="n">
        <v>46025</v>
      </c>
      <c r="C7" s="8" t="s">
        <v>8</v>
      </c>
      <c r="D7" s="8" t="s">
        <v>12</v>
      </c>
      <c r="E7" s="8" t="s">
        <v>13</v>
      </c>
      <c r="F7" s="8" t="s">
        <v>14</v>
      </c>
      <c r="G7" s="9" t="n">
        <v>195736</v>
      </c>
    </row>
    <row r="8" customFormat="false" ht="15" hidden="false" customHeight="false" outlineLevel="0" collapsed="false">
      <c r="B8" s="4" t="n">
        <v>46026</v>
      </c>
      <c r="C8" s="5" t="s">
        <v>8</v>
      </c>
      <c r="D8" s="5" t="s">
        <v>12</v>
      </c>
      <c r="E8" s="5" t="s">
        <v>15</v>
      </c>
      <c r="F8" s="5" t="s">
        <v>16</v>
      </c>
      <c r="G8" s="6" t="n">
        <v>200881</v>
      </c>
    </row>
    <row r="9" customFormat="false" ht="15" hidden="false" customHeight="false" outlineLevel="0" collapsed="false">
      <c r="B9" s="7" t="n">
        <v>46028</v>
      </c>
      <c r="C9" s="8" t="s">
        <v>8</v>
      </c>
      <c r="D9" s="8" t="s">
        <v>12</v>
      </c>
      <c r="E9" s="8" t="s">
        <v>17</v>
      </c>
      <c r="F9" s="8" t="s">
        <v>18</v>
      </c>
      <c r="G9" s="9" t="n">
        <v>210099</v>
      </c>
    </row>
    <row r="10" customFormat="false" ht="15" hidden="false" customHeight="false" outlineLevel="0" collapsed="false">
      <c r="B10" s="4" t="n">
        <v>46029</v>
      </c>
      <c r="C10" s="5" t="s">
        <v>8</v>
      </c>
      <c r="D10" s="5" t="s">
        <v>12</v>
      </c>
      <c r="E10" s="5" t="s">
        <v>19</v>
      </c>
      <c r="F10" s="5" t="s">
        <v>20</v>
      </c>
      <c r="G10" s="6" t="n">
        <v>206401</v>
      </c>
    </row>
    <row r="11" customFormat="false" ht="15" hidden="false" customHeight="false" outlineLevel="0" collapsed="false">
      <c r="B11" s="7" t="n">
        <v>46031</v>
      </c>
      <c r="C11" s="8" t="s">
        <v>8</v>
      </c>
      <c r="D11" s="8" t="s">
        <v>12</v>
      </c>
      <c r="E11" s="8" t="s">
        <v>15</v>
      </c>
      <c r="F11" s="8" t="s">
        <v>16</v>
      </c>
      <c r="G11" s="9" t="n">
        <v>111070</v>
      </c>
    </row>
    <row r="12" customFormat="false" ht="15" hidden="false" customHeight="false" outlineLevel="0" collapsed="false">
      <c r="B12" s="4" t="n">
        <v>46033</v>
      </c>
      <c r="C12" s="5" t="s">
        <v>8</v>
      </c>
      <c r="D12" s="5" t="s">
        <v>12</v>
      </c>
      <c r="E12" s="5" t="s">
        <v>21</v>
      </c>
      <c r="F12" s="5" t="s">
        <v>22</v>
      </c>
      <c r="G12" s="6" t="n">
        <v>189273</v>
      </c>
    </row>
    <row r="13" customFormat="false" ht="15" hidden="false" customHeight="false" outlineLevel="0" collapsed="false">
      <c r="B13" s="7" t="n">
        <v>46034</v>
      </c>
      <c r="C13" s="8" t="s">
        <v>8</v>
      </c>
      <c r="D13" s="8" t="s">
        <v>12</v>
      </c>
      <c r="E13" s="8" t="s">
        <v>15</v>
      </c>
      <c r="F13" s="8" t="s">
        <v>16</v>
      </c>
      <c r="G13" s="9" t="n">
        <v>175649</v>
      </c>
    </row>
    <row r="14" customFormat="false" ht="15" hidden="false" customHeight="false" outlineLevel="0" collapsed="false">
      <c r="B14" s="4" t="n">
        <v>46036</v>
      </c>
      <c r="C14" s="5" t="s">
        <v>8</v>
      </c>
      <c r="D14" s="5" t="s">
        <v>12</v>
      </c>
      <c r="E14" s="5" t="s">
        <v>21</v>
      </c>
      <c r="F14" s="5" t="s">
        <v>23</v>
      </c>
      <c r="G14" s="6" t="n">
        <v>113705</v>
      </c>
    </row>
    <row r="15" customFormat="false" ht="15" hidden="false" customHeight="false" outlineLevel="0" collapsed="false">
      <c r="B15" s="7" t="n">
        <v>46050</v>
      </c>
      <c r="C15" s="8" t="s">
        <v>8</v>
      </c>
      <c r="D15" s="8" t="s">
        <v>12</v>
      </c>
      <c r="E15" s="8" t="s">
        <v>24</v>
      </c>
      <c r="F15" s="8" t="s">
        <v>25</v>
      </c>
      <c r="G15" s="9" t="n">
        <v>47186</v>
      </c>
    </row>
    <row r="16" customFormat="false" ht="15" hidden="false" customHeight="false" outlineLevel="0" collapsed="false">
      <c r="B16" s="4" t="n">
        <v>46054</v>
      </c>
      <c r="C16" s="5" t="s">
        <v>26</v>
      </c>
      <c r="D16" s="5" t="s">
        <v>9</v>
      </c>
      <c r="E16" s="5" t="s">
        <v>10</v>
      </c>
      <c r="F16" s="5" t="s">
        <v>11</v>
      </c>
      <c r="G16" s="6" t="n">
        <v>3200000</v>
      </c>
    </row>
    <row r="17" customFormat="false" ht="15" hidden="false" customHeight="false" outlineLevel="0" collapsed="false">
      <c r="B17" s="7" t="n">
        <v>46056</v>
      </c>
      <c r="C17" s="8" t="s">
        <v>26</v>
      </c>
      <c r="D17" s="8" t="s">
        <v>12</v>
      </c>
      <c r="E17" s="8" t="s">
        <v>21</v>
      </c>
      <c r="F17" s="8" t="s">
        <v>22</v>
      </c>
      <c r="G17" s="9" t="n">
        <v>125904</v>
      </c>
    </row>
    <row r="18" customFormat="false" ht="15" hidden="false" customHeight="false" outlineLevel="0" collapsed="false">
      <c r="B18" s="4" t="n">
        <v>46058</v>
      </c>
      <c r="C18" s="5" t="s">
        <v>26</v>
      </c>
      <c r="D18" s="5" t="s">
        <v>12</v>
      </c>
      <c r="E18" s="5" t="s">
        <v>17</v>
      </c>
      <c r="F18" s="5" t="s">
        <v>18</v>
      </c>
      <c r="G18" s="6" t="n">
        <v>93616</v>
      </c>
    </row>
    <row r="19" customFormat="false" ht="15" hidden="false" customHeight="false" outlineLevel="0" collapsed="false">
      <c r="B19" s="7" t="n">
        <v>46060</v>
      </c>
      <c r="C19" s="8" t="s">
        <v>26</v>
      </c>
      <c r="D19" s="8" t="s">
        <v>12</v>
      </c>
      <c r="E19" s="8" t="s">
        <v>15</v>
      </c>
      <c r="F19" s="8" t="s">
        <v>27</v>
      </c>
      <c r="G19" s="9" t="n">
        <v>122765</v>
      </c>
    </row>
    <row r="20" customFormat="false" ht="15" hidden="false" customHeight="false" outlineLevel="0" collapsed="false">
      <c r="B20" s="4" t="n">
        <v>46061</v>
      </c>
      <c r="C20" s="5" t="s">
        <v>26</v>
      </c>
      <c r="D20" s="5" t="s">
        <v>12</v>
      </c>
      <c r="E20" s="5" t="s">
        <v>13</v>
      </c>
      <c r="F20" s="5" t="s">
        <v>28</v>
      </c>
      <c r="G20" s="6" t="n">
        <v>131985</v>
      </c>
    </row>
    <row r="21" customFormat="false" ht="15" hidden="false" customHeight="false" outlineLevel="0" collapsed="false">
      <c r="B21" s="7" t="n">
        <v>46063</v>
      </c>
      <c r="C21" s="8" t="s">
        <v>26</v>
      </c>
      <c r="D21" s="8" t="s">
        <v>12</v>
      </c>
      <c r="E21" s="8" t="s">
        <v>17</v>
      </c>
      <c r="F21" s="8" t="s">
        <v>29</v>
      </c>
      <c r="G21" s="9" t="n">
        <v>38628</v>
      </c>
    </row>
    <row r="22" customFormat="false" ht="15" hidden="false" customHeight="false" outlineLevel="0" collapsed="false">
      <c r="B22" s="4" t="n">
        <v>46064</v>
      </c>
      <c r="C22" s="5" t="s">
        <v>26</v>
      </c>
      <c r="D22" s="5" t="s">
        <v>12</v>
      </c>
      <c r="E22" s="5" t="s">
        <v>17</v>
      </c>
      <c r="F22" s="5" t="s">
        <v>29</v>
      </c>
      <c r="G22" s="6" t="n">
        <v>46599</v>
      </c>
    </row>
    <row r="23" customFormat="false" ht="15" hidden="false" customHeight="false" outlineLevel="0" collapsed="false">
      <c r="B23" s="7" t="n">
        <v>46065</v>
      </c>
      <c r="C23" s="8" t="s">
        <v>26</v>
      </c>
      <c r="D23" s="8" t="s">
        <v>12</v>
      </c>
      <c r="E23" s="8" t="s">
        <v>21</v>
      </c>
      <c r="F23" s="8" t="s">
        <v>23</v>
      </c>
      <c r="G23" s="9" t="n">
        <v>112982</v>
      </c>
    </row>
    <row r="24" customFormat="false" ht="15" hidden="false" customHeight="false" outlineLevel="0" collapsed="false">
      <c r="B24" s="4" t="n">
        <v>46067</v>
      </c>
      <c r="C24" s="5" t="s">
        <v>26</v>
      </c>
      <c r="D24" s="5" t="s">
        <v>12</v>
      </c>
      <c r="E24" s="5" t="s">
        <v>21</v>
      </c>
      <c r="F24" s="5" t="s">
        <v>30</v>
      </c>
      <c r="G24" s="6" t="n">
        <v>102195</v>
      </c>
    </row>
    <row r="25" customFormat="false" ht="15" hidden="false" customHeight="false" outlineLevel="0" collapsed="false">
      <c r="B25" s="7" t="n">
        <v>46068</v>
      </c>
      <c r="C25" s="8" t="s">
        <v>26</v>
      </c>
      <c r="D25" s="8" t="s">
        <v>9</v>
      </c>
      <c r="E25" s="8" t="s">
        <v>10</v>
      </c>
      <c r="F25" s="8" t="s">
        <v>31</v>
      </c>
      <c r="G25" s="9" t="n">
        <v>200000</v>
      </c>
    </row>
    <row r="26" customFormat="false" ht="15" hidden="false" customHeight="false" outlineLevel="0" collapsed="false">
      <c r="B26" s="4" t="n">
        <v>46069</v>
      </c>
      <c r="C26" s="5" t="s">
        <v>26</v>
      </c>
      <c r="D26" s="5" t="s">
        <v>12</v>
      </c>
      <c r="E26" s="5" t="s">
        <v>24</v>
      </c>
      <c r="F26" s="5" t="s">
        <v>32</v>
      </c>
      <c r="G26" s="6" t="n">
        <v>207415</v>
      </c>
    </row>
    <row r="27" customFormat="false" ht="15" hidden="false" customHeight="false" outlineLevel="0" collapsed="false">
      <c r="B27" s="7" t="n">
        <v>46071</v>
      </c>
      <c r="C27" s="8" t="s">
        <v>26</v>
      </c>
      <c r="D27" s="8" t="s">
        <v>12</v>
      </c>
      <c r="E27" s="8" t="s">
        <v>19</v>
      </c>
      <c r="F27" s="8" t="s">
        <v>33</v>
      </c>
      <c r="G27" s="9" t="n">
        <v>154120</v>
      </c>
    </row>
    <row r="28" customFormat="false" ht="15" hidden="false" customHeight="false" outlineLevel="0" collapsed="false">
      <c r="B28" s="4" t="n">
        <v>46073</v>
      </c>
      <c r="C28" s="5" t="s">
        <v>26</v>
      </c>
      <c r="D28" s="5" t="s">
        <v>12</v>
      </c>
      <c r="E28" s="5" t="s">
        <v>13</v>
      </c>
      <c r="F28" s="5" t="s">
        <v>34</v>
      </c>
      <c r="G28" s="6" t="n">
        <v>149085</v>
      </c>
    </row>
    <row r="29" customFormat="false" ht="15" hidden="false" customHeight="false" outlineLevel="0" collapsed="false">
      <c r="B29" s="7" t="n">
        <v>46075</v>
      </c>
      <c r="C29" s="8" t="s">
        <v>26</v>
      </c>
      <c r="D29" s="8" t="s">
        <v>12</v>
      </c>
      <c r="E29" s="8" t="s">
        <v>19</v>
      </c>
      <c r="F29" s="8" t="s">
        <v>35</v>
      </c>
      <c r="G29" s="9" t="n">
        <v>32541</v>
      </c>
    </row>
    <row r="30" customFormat="false" ht="15" hidden="false" customHeight="false" outlineLevel="0" collapsed="false">
      <c r="B30" s="4" t="n">
        <v>46076</v>
      </c>
      <c r="C30" s="5" t="s">
        <v>26</v>
      </c>
      <c r="D30" s="5" t="s">
        <v>12</v>
      </c>
      <c r="E30" s="5" t="s">
        <v>19</v>
      </c>
      <c r="F30" s="5" t="s">
        <v>20</v>
      </c>
      <c r="G30" s="6" t="n">
        <v>124776</v>
      </c>
    </row>
    <row r="31" customFormat="false" ht="15" hidden="false" customHeight="false" outlineLevel="0" collapsed="false">
      <c r="B31" s="7" t="n">
        <v>46081</v>
      </c>
      <c r="C31" s="8" t="s">
        <v>26</v>
      </c>
      <c r="D31" s="8" t="s">
        <v>12</v>
      </c>
      <c r="E31" s="8" t="s">
        <v>17</v>
      </c>
      <c r="F31" s="8" t="s">
        <v>25</v>
      </c>
      <c r="G31" s="9" t="n">
        <v>77389</v>
      </c>
    </row>
    <row r="32" customFormat="false" ht="15" hidden="false" customHeight="false" outlineLevel="0" collapsed="false">
      <c r="B32" s="4" t="n">
        <v>46082</v>
      </c>
      <c r="C32" s="5" t="s">
        <v>36</v>
      </c>
      <c r="D32" s="5" t="s">
        <v>9</v>
      </c>
      <c r="E32" s="5" t="s">
        <v>10</v>
      </c>
      <c r="F32" s="5" t="s">
        <v>11</v>
      </c>
      <c r="G32" s="6" t="n">
        <v>3200000</v>
      </c>
    </row>
    <row r="33" customFormat="false" ht="15" hidden="false" customHeight="false" outlineLevel="0" collapsed="false">
      <c r="B33" s="7" t="n">
        <v>46085</v>
      </c>
      <c r="C33" s="8" t="s">
        <v>36</v>
      </c>
      <c r="D33" s="8" t="s">
        <v>12</v>
      </c>
      <c r="E33" s="8" t="s">
        <v>24</v>
      </c>
      <c r="F33" s="8" t="s">
        <v>32</v>
      </c>
      <c r="G33" s="9" t="n">
        <v>172144</v>
      </c>
    </row>
    <row r="34" customFormat="false" ht="15" hidden="false" customHeight="false" outlineLevel="0" collapsed="false">
      <c r="B34" s="4" t="n">
        <v>46086</v>
      </c>
      <c r="C34" s="5" t="s">
        <v>36</v>
      </c>
      <c r="D34" s="5" t="s">
        <v>12</v>
      </c>
      <c r="E34" s="5" t="s">
        <v>17</v>
      </c>
      <c r="F34" s="5" t="s">
        <v>18</v>
      </c>
      <c r="G34" s="6" t="n">
        <v>214051</v>
      </c>
    </row>
    <row r="35" customFormat="false" ht="15" hidden="false" customHeight="false" outlineLevel="0" collapsed="false">
      <c r="B35" s="7" t="n">
        <v>46088</v>
      </c>
      <c r="C35" s="8" t="s">
        <v>36</v>
      </c>
      <c r="D35" s="8" t="s">
        <v>12</v>
      </c>
      <c r="E35" s="8" t="s">
        <v>19</v>
      </c>
      <c r="F35" s="8" t="s">
        <v>33</v>
      </c>
      <c r="G35" s="9" t="n">
        <v>190500</v>
      </c>
    </row>
    <row r="36" customFormat="false" ht="15" hidden="false" customHeight="false" outlineLevel="0" collapsed="false">
      <c r="B36" s="4" t="n">
        <v>46090</v>
      </c>
      <c r="C36" s="5" t="s">
        <v>36</v>
      </c>
      <c r="D36" s="5" t="s">
        <v>12</v>
      </c>
      <c r="E36" s="5" t="s">
        <v>21</v>
      </c>
      <c r="F36" s="5" t="s">
        <v>22</v>
      </c>
      <c r="G36" s="6" t="n">
        <v>52928</v>
      </c>
    </row>
    <row r="37" customFormat="false" ht="15" hidden="false" customHeight="false" outlineLevel="0" collapsed="false">
      <c r="B37" s="7" t="n">
        <v>46092</v>
      </c>
      <c r="C37" s="8" t="s">
        <v>36</v>
      </c>
      <c r="D37" s="8" t="s">
        <v>12</v>
      </c>
      <c r="E37" s="8" t="s">
        <v>19</v>
      </c>
      <c r="F37" s="8" t="s">
        <v>20</v>
      </c>
      <c r="G37" s="9" t="n">
        <v>140641</v>
      </c>
    </row>
    <row r="38" customFormat="false" ht="15" hidden="false" customHeight="false" outlineLevel="0" collapsed="false">
      <c r="B38" s="4" t="n">
        <v>46094</v>
      </c>
      <c r="C38" s="5" t="s">
        <v>36</v>
      </c>
      <c r="D38" s="5" t="s">
        <v>12</v>
      </c>
      <c r="E38" s="5" t="s">
        <v>15</v>
      </c>
      <c r="F38" s="5" t="s">
        <v>16</v>
      </c>
      <c r="G38" s="6" t="n">
        <v>193094</v>
      </c>
    </row>
    <row r="39" customFormat="false" ht="15" hidden="false" customHeight="false" outlineLevel="0" collapsed="false">
      <c r="B39" s="7" t="n">
        <v>46096</v>
      </c>
      <c r="C39" s="8" t="s">
        <v>36</v>
      </c>
      <c r="D39" s="8" t="s">
        <v>12</v>
      </c>
      <c r="E39" s="8" t="s">
        <v>19</v>
      </c>
      <c r="F39" s="8" t="s">
        <v>35</v>
      </c>
      <c r="G39" s="9" t="n">
        <v>134099</v>
      </c>
    </row>
    <row r="40" customFormat="false" ht="15" hidden="false" customHeight="false" outlineLevel="0" collapsed="false">
      <c r="B40" s="4" t="n">
        <v>46097</v>
      </c>
      <c r="C40" s="5" t="s">
        <v>36</v>
      </c>
      <c r="D40" s="5" t="s">
        <v>12</v>
      </c>
      <c r="E40" s="5" t="s">
        <v>15</v>
      </c>
      <c r="F40" s="5" t="s">
        <v>27</v>
      </c>
      <c r="G40" s="6" t="n">
        <v>57673</v>
      </c>
    </row>
    <row r="41" customFormat="false" ht="15" hidden="false" customHeight="false" outlineLevel="0" collapsed="false">
      <c r="B41" s="7" t="n">
        <v>46099</v>
      </c>
      <c r="C41" s="8" t="s">
        <v>36</v>
      </c>
      <c r="D41" s="8" t="s">
        <v>12</v>
      </c>
      <c r="E41" s="8" t="s">
        <v>17</v>
      </c>
      <c r="F41" s="8" t="s">
        <v>18</v>
      </c>
      <c r="G41" s="9" t="n">
        <v>193058</v>
      </c>
    </row>
    <row r="42" customFormat="false" ht="15" hidden="false" customHeight="false" outlineLevel="0" collapsed="false">
      <c r="B42" s="4" t="n">
        <v>46101</v>
      </c>
      <c r="C42" s="5" t="s">
        <v>36</v>
      </c>
      <c r="D42" s="5" t="s">
        <v>12</v>
      </c>
      <c r="E42" s="5" t="s">
        <v>13</v>
      </c>
      <c r="F42" s="5" t="s">
        <v>14</v>
      </c>
      <c r="G42" s="6" t="n">
        <v>219831</v>
      </c>
    </row>
    <row r="43" customFormat="false" ht="15" hidden="false" customHeight="false" outlineLevel="0" collapsed="false">
      <c r="B43" s="7" t="n">
        <v>46109</v>
      </c>
      <c r="C43" s="8" t="s">
        <v>36</v>
      </c>
      <c r="D43" s="8" t="s">
        <v>12</v>
      </c>
      <c r="E43" s="8" t="s">
        <v>19</v>
      </c>
      <c r="F43" s="8" t="s">
        <v>25</v>
      </c>
      <c r="G43" s="9" t="n">
        <v>41981</v>
      </c>
    </row>
    <row r="44" customFormat="false" ht="15" hidden="false" customHeight="false" outlineLevel="0" collapsed="false">
      <c r="B44" s="4" t="n">
        <v>46113</v>
      </c>
      <c r="C44" s="5" t="s">
        <v>37</v>
      </c>
      <c r="D44" s="5" t="s">
        <v>9</v>
      </c>
      <c r="E44" s="5" t="s">
        <v>10</v>
      </c>
      <c r="F44" s="5" t="s">
        <v>11</v>
      </c>
      <c r="G44" s="6" t="n">
        <v>3200000</v>
      </c>
    </row>
    <row r="45" customFormat="false" ht="15" hidden="false" customHeight="false" outlineLevel="0" collapsed="false">
      <c r="B45" s="7" t="n">
        <v>46116</v>
      </c>
      <c r="C45" s="8" t="s">
        <v>37</v>
      </c>
      <c r="D45" s="8" t="s">
        <v>12</v>
      </c>
      <c r="E45" s="8" t="s">
        <v>19</v>
      </c>
      <c r="F45" s="8" t="s">
        <v>20</v>
      </c>
      <c r="G45" s="9" t="n">
        <v>199394</v>
      </c>
    </row>
    <row r="46" customFormat="false" ht="15" hidden="false" customHeight="false" outlineLevel="0" collapsed="false">
      <c r="B46" s="4" t="n">
        <v>46117</v>
      </c>
      <c r="C46" s="5" t="s">
        <v>37</v>
      </c>
      <c r="D46" s="5" t="s">
        <v>12</v>
      </c>
      <c r="E46" s="5" t="s">
        <v>13</v>
      </c>
      <c r="F46" s="5" t="s">
        <v>34</v>
      </c>
      <c r="G46" s="6" t="n">
        <v>164072</v>
      </c>
    </row>
    <row r="47" customFormat="false" ht="15" hidden="false" customHeight="false" outlineLevel="0" collapsed="false">
      <c r="B47" s="7" t="n">
        <v>46119</v>
      </c>
      <c r="C47" s="8" t="s">
        <v>37</v>
      </c>
      <c r="D47" s="8" t="s">
        <v>12</v>
      </c>
      <c r="E47" s="8" t="s">
        <v>17</v>
      </c>
      <c r="F47" s="8" t="s">
        <v>29</v>
      </c>
      <c r="G47" s="9" t="n">
        <v>89746</v>
      </c>
    </row>
    <row r="48" customFormat="false" ht="15" hidden="false" customHeight="false" outlineLevel="0" collapsed="false">
      <c r="B48" s="4" t="n">
        <v>46120</v>
      </c>
      <c r="C48" s="5" t="s">
        <v>37</v>
      </c>
      <c r="D48" s="5" t="s">
        <v>12</v>
      </c>
      <c r="E48" s="5" t="s">
        <v>21</v>
      </c>
      <c r="F48" s="5" t="s">
        <v>30</v>
      </c>
      <c r="G48" s="6" t="n">
        <v>182927</v>
      </c>
    </row>
    <row r="49" customFormat="false" ht="15" hidden="false" customHeight="false" outlineLevel="0" collapsed="false">
      <c r="B49" s="7" t="n">
        <v>46121</v>
      </c>
      <c r="C49" s="8" t="s">
        <v>37</v>
      </c>
      <c r="D49" s="8" t="s">
        <v>12</v>
      </c>
      <c r="E49" s="8" t="s">
        <v>13</v>
      </c>
      <c r="F49" s="8" t="s">
        <v>14</v>
      </c>
      <c r="G49" s="9" t="n">
        <v>82069</v>
      </c>
    </row>
    <row r="50" customFormat="false" ht="15" hidden="false" customHeight="false" outlineLevel="0" collapsed="false">
      <c r="B50" s="4" t="n">
        <v>46122</v>
      </c>
      <c r="C50" s="5" t="s">
        <v>37</v>
      </c>
      <c r="D50" s="5" t="s">
        <v>12</v>
      </c>
      <c r="E50" s="5" t="s">
        <v>24</v>
      </c>
      <c r="F50" s="5" t="s">
        <v>38</v>
      </c>
      <c r="G50" s="6" t="n">
        <v>48743</v>
      </c>
    </row>
    <row r="51" customFormat="false" ht="15" hidden="false" customHeight="false" outlineLevel="0" collapsed="false">
      <c r="B51" s="7" t="n">
        <v>46124</v>
      </c>
      <c r="C51" s="8" t="s">
        <v>37</v>
      </c>
      <c r="D51" s="8" t="s">
        <v>12</v>
      </c>
      <c r="E51" s="8" t="s">
        <v>17</v>
      </c>
      <c r="F51" s="8" t="s">
        <v>29</v>
      </c>
      <c r="G51" s="9" t="n">
        <v>180382</v>
      </c>
    </row>
    <row r="52" customFormat="false" ht="15" hidden="false" customHeight="false" outlineLevel="0" collapsed="false">
      <c r="B52" s="4" t="n">
        <v>46125</v>
      </c>
      <c r="C52" s="5" t="s">
        <v>37</v>
      </c>
      <c r="D52" s="5" t="s">
        <v>12</v>
      </c>
      <c r="E52" s="5" t="s">
        <v>13</v>
      </c>
      <c r="F52" s="5" t="s">
        <v>34</v>
      </c>
      <c r="G52" s="6" t="n">
        <v>127365</v>
      </c>
    </row>
    <row r="53" customFormat="false" ht="15" hidden="false" customHeight="false" outlineLevel="0" collapsed="false">
      <c r="B53" s="7" t="n">
        <v>46126</v>
      </c>
      <c r="C53" s="8" t="s">
        <v>37</v>
      </c>
      <c r="D53" s="8" t="s">
        <v>12</v>
      </c>
      <c r="E53" s="8" t="s">
        <v>24</v>
      </c>
      <c r="F53" s="8" t="s">
        <v>39</v>
      </c>
      <c r="G53" s="9" t="n">
        <v>36076</v>
      </c>
    </row>
    <row r="54" customFormat="false" ht="15" hidden="false" customHeight="false" outlineLevel="0" collapsed="false">
      <c r="B54" s="4" t="n">
        <v>46127</v>
      </c>
      <c r="C54" s="5" t="s">
        <v>37</v>
      </c>
      <c r="D54" s="5" t="s">
        <v>9</v>
      </c>
      <c r="E54" s="5" t="s">
        <v>10</v>
      </c>
      <c r="F54" s="5" t="s">
        <v>31</v>
      </c>
      <c r="G54" s="6" t="n">
        <v>200000</v>
      </c>
    </row>
    <row r="55" customFormat="false" ht="15" hidden="false" customHeight="false" outlineLevel="0" collapsed="false">
      <c r="B55" s="7" t="n">
        <v>46127</v>
      </c>
      <c r="C55" s="8" t="s">
        <v>37</v>
      </c>
      <c r="D55" s="8" t="s">
        <v>12</v>
      </c>
      <c r="E55" s="8" t="s">
        <v>24</v>
      </c>
      <c r="F55" s="8" t="s">
        <v>39</v>
      </c>
      <c r="G55" s="9" t="n">
        <v>40403</v>
      </c>
    </row>
    <row r="56" customFormat="false" ht="15" hidden="false" customHeight="false" outlineLevel="0" collapsed="false">
      <c r="B56" s="4" t="n">
        <v>46128</v>
      </c>
      <c r="C56" s="5" t="s">
        <v>37</v>
      </c>
      <c r="D56" s="5" t="s">
        <v>12</v>
      </c>
      <c r="E56" s="5" t="s">
        <v>13</v>
      </c>
      <c r="F56" s="5" t="s">
        <v>14</v>
      </c>
      <c r="G56" s="6" t="n">
        <v>175878</v>
      </c>
    </row>
    <row r="57" customFormat="false" ht="15" hidden="false" customHeight="false" outlineLevel="0" collapsed="false">
      <c r="B57" s="7" t="n">
        <v>46130</v>
      </c>
      <c r="C57" s="8" t="s">
        <v>37</v>
      </c>
      <c r="D57" s="8" t="s">
        <v>12</v>
      </c>
      <c r="E57" s="8" t="s">
        <v>17</v>
      </c>
      <c r="F57" s="8" t="s">
        <v>29</v>
      </c>
      <c r="G57" s="9" t="n">
        <v>117702</v>
      </c>
    </row>
    <row r="58" customFormat="false" ht="15" hidden="false" customHeight="false" outlineLevel="0" collapsed="false">
      <c r="B58" s="4" t="n">
        <v>46132</v>
      </c>
      <c r="C58" s="5" t="s">
        <v>37</v>
      </c>
      <c r="D58" s="5" t="s">
        <v>12</v>
      </c>
      <c r="E58" s="5" t="s">
        <v>21</v>
      </c>
      <c r="F58" s="5" t="s">
        <v>22</v>
      </c>
      <c r="G58" s="6" t="n">
        <v>160857</v>
      </c>
    </row>
    <row r="59" customFormat="false" ht="15" hidden="false" customHeight="false" outlineLevel="0" collapsed="false">
      <c r="B59" s="7" t="n">
        <v>46140</v>
      </c>
      <c r="C59" s="8" t="s">
        <v>37</v>
      </c>
      <c r="D59" s="8" t="s">
        <v>12</v>
      </c>
      <c r="E59" s="8" t="s">
        <v>21</v>
      </c>
      <c r="F59" s="8" t="s">
        <v>25</v>
      </c>
      <c r="G59" s="9" t="n">
        <v>84386</v>
      </c>
    </row>
    <row r="60" customFormat="false" ht="15" hidden="false" customHeight="false" outlineLevel="0" collapsed="false">
      <c r="B60" s="4" t="n">
        <v>46143</v>
      </c>
      <c r="C60" s="5" t="s">
        <v>40</v>
      </c>
      <c r="D60" s="5" t="s">
        <v>9</v>
      </c>
      <c r="E60" s="5" t="s">
        <v>10</v>
      </c>
      <c r="F60" s="5" t="s">
        <v>11</v>
      </c>
      <c r="G60" s="6" t="n">
        <v>3200000</v>
      </c>
    </row>
    <row r="61" customFormat="false" ht="15" hidden="false" customHeight="false" outlineLevel="0" collapsed="false">
      <c r="B61" s="7" t="n">
        <v>46146</v>
      </c>
      <c r="C61" s="8" t="s">
        <v>40</v>
      </c>
      <c r="D61" s="8" t="s">
        <v>12</v>
      </c>
      <c r="E61" s="8" t="s">
        <v>17</v>
      </c>
      <c r="F61" s="8" t="s">
        <v>29</v>
      </c>
      <c r="G61" s="9" t="n">
        <v>31694</v>
      </c>
    </row>
    <row r="62" customFormat="false" ht="15" hidden="false" customHeight="false" outlineLevel="0" collapsed="false">
      <c r="B62" s="4" t="n">
        <v>46147</v>
      </c>
      <c r="C62" s="5" t="s">
        <v>40</v>
      </c>
      <c r="D62" s="5" t="s">
        <v>12</v>
      </c>
      <c r="E62" s="5" t="s">
        <v>15</v>
      </c>
      <c r="F62" s="5" t="s">
        <v>16</v>
      </c>
      <c r="G62" s="6" t="n">
        <v>115673</v>
      </c>
    </row>
    <row r="63" customFormat="false" ht="15" hidden="false" customHeight="false" outlineLevel="0" collapsed="false">
      <c r="B63" s="7" t="n">
        <v>46149</v>
      </c>
      <c r="C63" s="8" t="s">
        <v>40</v>
      </c>
      <c r="D63" s="8" t="s">
        <v>12</v>
      </c>
      <c r="E63" s="8" t="s">
        <v>17</v>
      </c>
      <c r="F63" s="8" t="s">
        <v>18</v>
      </c>
      <c r="G63" s="9" t="n">
        <v>55657</v>
      </c>
    </row>
    <row r="64" customFormat="false" ht="15" hidden="false" customHeight="false" outlineLevel="0" collapsed="false">
      <c r="B64" s="4" t="n">
        <v>46151</v>
      </c>
      <c r="C64" s="5" t="s">
        <v>40</v>
      </c>
      <c r="D64" s="5" t="s">
        <v>12</v>
      </c>
      <c r="E64" s="5" t="s">
        <v>19</v>
      </c>
      <c r="F64" s="5" t="s">
        <v>20</v>
      </c>
      <c r="G64" s="6" t="n">
        <v>147926</v>
      </c>
    </row>
    <row r="65" customFormat="false" ht="15" hidden="false" customHeight="false" outlineLevel="0" collapsed="false">
      <c r="B65" s="7" t="n">
        <v>46152</v>
      </c>
      <c r="C65" s="8" t="s">
        <v>40</v>
      </c>
      <c r="D65" s="8" t="s">
        <v>12</v>
      </c>
      <c r="E65" s="8" t="s">
        <v>24</v>
      </c>
      <c r="F65" s="8" t="s">
        <v>32</v>
      </c>
      <c r="G65" s="9" t="n">
        <v>168376</v>
      </c>
    </row>
    <row r="66" customFormat="false" ht="15" hidden="false" customHeight="false" outlineLevel="0" collapsed="false">
      <c r="B66" s="4" t="n">
        <v>46153</v>
      </c>
      <c r="C66" s="5" t="s">
        <v>40</v>
      </c>
      <c r="D66" s="5" t="s">
        <v>12</v>
      </c>
      <c r="E66" s="5" t="s">
        <v>24</v>
      </c>
      <c r="F66" s="5" t="s">
        <v>39</v>
      </c>
      <c r="G66" s="6" t="n">
        <v>56276</v>
      </c>
    </row>
    <row r="67" customFormat="false" ht="15" hidden="false" customHeight="false" outlineLevel="0" collapsed="false">
      <c r="B67" s="7" t="n">
        <v>46154</v>
      </c>
      <c r="C67" s="8" t="s">
        <v>40</v>
      </c>
      <c r="D67" s="8" t="s">
        <v>12</v>
      </c>
      <c r="E67" s="8" t="s">
        <v>19</v>
      </c>
      <c r="F67" s="8" t="s">
        <v>33</v>
      </c>
      <c r="G67" s="9" t="n">
        <v>64113</v>
      </c>
    </row>
    <row r="68" customFormat="false" ht="15" hidden="false" customHeight="false" outlineLevel="0" collapsed="false">
      <c r="B68" s="4" t="n">
        <v>46156</v>
      </c>
      <c r="C68" s="5" t="s">
        <v>40</v>
      </c>
      <c r="D68" s="5" t="s">
        <v>12</v>
      </c>
      <c r="E68" s="5" t="s">
        <v>19</v>
      </c>
      <c r="F68" s="5" t="s">
        <v>33</v>
      </c>
      <c r="G68" s="6" t="n">
        <v>151599</v>
      </c>
    </row>
    <row r="69" customFormat="false" ht="15" hidden="false" customHeight="false" outlineLevel="0" collapsed="false">
      <c r="B69" s="7" t="n">
        <v>46157</v>
      </c>
      <c r="C69" s="8" t="s">
        <v>40</v>
      </c>
      <c r="D69" s="8" t="s">
        <v>12</v>
      </c>
      <c r="E69" s="8" t="s">
        <v>15</v>
      </c>
      <c r="F69" s="8" t="s">
        <v>27</v>
      </c>
      <c r="G69" s="9" t="n">
        <v>31882</v>
      </c>
    </row>
    <row r="70" customFormat="false" ht="15" hidden="false" customHeight="false" outlineLevel="0" collapsed="false">
      <c r="B70" s="4" t="n">
        <v>46159</v>
      </c>
      <c r="C70" s="5" t="s">
        <v>40</v>
      </c>
      <c r="D70" s="5" t="s">
        <v>12</v>
      </c>
      <c r="E70" s="5" t="s">
        <v>21</v>
      </c>
      <c r="F70" s="5" t="s">
        <v>23</v>
      </c>
      <c r="G70" s="6" t="n">
        <v>69102</v>
      </c>
    </row>
    <row r="71" customFormat="false" ht="15" hidden="false" customHeight="false" outlineLevel="0" collapsed="false">
      <c r="B71" s="7" t="n">
        <v>46160</v>
      </c>
      <c r="C71" s="8" t="s">
        <v>40</v>
      </c>
      <c r="D71" s="8" t="s">
        <v>12</v>
      </c>
      <c r="E71" s="8" t="s">
        <v>24</v>
      </c>
      <c r="F71" s="8" t="s">
        <v>39</v>
      </c>
      <c r="G71" s="9" t="n">
        <v>96214</v>
      </c>
    </row>
    <row r="72" customFormat="false" ht="15" hidden="false" customHeight="false" outlineLevel="0" collapsed="false">
      <c r="B72" s="4" t="n">
        <v>46162</v>
      </c>
      <c r="C72" s="5" t="s">
        <v>40</v>
      </c>
      <c r="D72" s="5" t="s">
        <v>12</v>
      </c>
      <c r="E72" s="5" t="s">
        <v>15</v>
      </c>
      <c r="F72" s="5" t="s">
        <v>27</v>
      </c>
      <c r="G72" s="6" t="n">
        <v>159967</v>
      </c>
    </row>
    <row r="73" customFormat="false" ht="15" hidden="false" customHeight="false" outlineLevel="0" collapsed="false">
      <c r="B73" s="7" t="n">
        <v>46164</v>
      </c>
      <c r="C73" s="8" t="s">
        <v>40</v>
      </c>
      <c r="D73" s="8" t="s">
        <v>12</v>
      </c>
      <c r="E73" s="8" t="s">
        <v>13</v>
      </c>
      <c r="F73" s="8" t="s">
        <v>28</v>
      </c>
      <c r="G73" s="9" t="n">
        <v>180097</v>
      </c>
    </row>
    <row r="74" customFormat="false" ht="15" hidden="false" customHeight="false" outlineLevel="0" collapsed="false">
      <c r="B74" s="4" t="n">
        <v>46165</v>
      </c>
      <c r="C74" s="5" t="s">
        <v>40</v>
      </c>
      <c r="D74" s="5" t="s">
        <v>12</v>
      </c>
      <c r="E74" s="5" t="s">
        <v>17</v>
      </c>
      <c r="F74" s="5" t="s">
        <v>18</v>
      </c>
      <c r="G74" s="6" t="n">
        <v>88839</v>
      </c>
    </row>
    <row r="75" customFormat="false" ht="15" hidden="false" customHeight="false" outlineLevel="0" collapsed="false">
      <c r="B75" s="7" t="n">
        <v>46166</v>
      </c>
      <c r="C75" s="8" t="s">
        <v>40</v>
      </c>
      <c r="D75" s="8" t="s">
        <v>12</v>
      </c>
      <c r="E75" s="8" t="s">
        <v>15</v>
      </c>
      <c r="F75" s="8" t="s">
        <v>27</v>
      </c>
      <c r="G75" s="9" t="n">
        <v>133231</v>
      </c>
    </row>
    <row r="76" customFormat="false" ht="15" hidden="false" customHeight="false" outlineLevel="0" collapsed="false">
      <c r="B76" s="4" t="n">
        <v>46167</v>
      </c>
      <c r="C76" s="5" t="s">
        <v>40</v>
      </c>
      <c r="D76" s="5" t="s">
        <v>12</v>
      </c>
      <c r="E76" s="5" t="s">
        <v>15</v>
      </c>
      <c r="F76" s="5" t="s">
        <v>27</v>
      </c>
      <c r="G76" s="6" t="n">
        <v>60689</v>
      </c>
    </row>
    <row r="77" customFormat="false" ht="15" hidden="false" customHeight="false" outlineLevel="0" collapsed="false">
      <c r="B77" s="7" t="n">
        <v>46168</v>
      </c>
      <c r="C77" s="8" t="s">
        <v>40</v>
      </c>
      <c r="D77" s="8" t="s">
        <v>12</v>
      </c>
      <c r="E77" s="8" t="s">
        <v>17</v>
      </c>
      <c r="F77" s="8" t="s">
        <v>18</v>
      </c>
      <c r="G77" s="9" t="n">
        <v>116867</v>
      </c>
    </row>
    <row r="78" customFormat="false" ht="15" hidden="false" customHeight="false" outlineLevel="0" collapsed="false">
      <c r="B78" s="4" t="n">
        <v>46170</v>
      </c>
      <c r="C78" s="5" t="s">
        <v>40</v>
      </c>
      <c r="D78" s="5" t="s">
        <v>12</v>
      </c>
      <c r="E78" s="5" t="s">
        <v>19</v>
      </c>
      <c r="F78" s="5" t="s">
        <v>25</v>
      </c>
      <c r="G78" s="6" t="n">
        <v>51798</v>
      </c>
    </row>
    <row r="79" customFormat="false" ht="15" hidden="false" customHeight="false" outlineLevel="0" collapsed="false">
      <c r="B79" s="7" t="n">
        <v>46174</v>
      </c>
      <c r="C79" s="8" t="s">
        <v>41</v>
      </c>
      <c r="D79" s="8" t="s">
        <v>9</v>
      </c>
      <c r="E79" s="8" t="s">
        <v>10</v>
      </c>
      <c r="F79" s="8" t="s">
        <v>11</v>
      </c>
      <c r="G79" s="9" t="n">
        <v>3200000</v>
      </c>
    </row>
    <row r="80" customFormat="false" ht="15" hidden="false" customHeight="false" outlineLevel="0" collapsed="false">
      <c r="B80" s="4" t="n">
        <v>46176</v>
      </c>
      <c r="C80" s="5" t="s">
        <v>41</v>
      </c>
      <c r="D80" s="5" t="s">
        <v>12</v>
      </c>
      <c r="E80" s="5" t="s">
        <v>21</v>
      </c>
      <c r="F80" s="5" t="s">
        <v>23</v>
      </c>
      <c r="G80" s="6" t="n">
        <v>206312</v>
      </c>
    </row>
    <row r="81" customFormat="false" ht="15" hidden="false" customHeight="false" outlineLevel="0" collapsed="false">
      <c r="B81" s="7" t="n">
        <v>46177</v>
      </c>
      <c r="C81" s="8" t="s">
        <v>41</v>
      </c>
      <c r="D81" s="8" t="s">
        <v>12</v>
      </c>
      <c r="E81" s="8" t="s">
        <v>13</v>
      </c>
      <c r="F81" s="8" t="s">
        <v>14</v>
      </c>
      <c r="G81" s="9" t="n">
        <v>131152</v>
      </c>
    </row>
    <row r="82" customFormat="false" ht="15" hidden="false" customHeight="false" outlineLevel="0" collapsed="false">
      <c r="B82" s="4" t="n">
        <v>46178</v>
      </c>
      <c r="C82" s="5" t="s">
        <v>41</v>
      </c>
      <c r="D82" s="5" t="s">
        <v>12</v>
      </c>
      <c r="E82" s="5" t="s">
        <v>13</v>
      </c>
      <c r="F82" s="5" t="s">
        <v>28</v>
      </c>
      <c r="G82" s="6" t="n">
        <v>79434</v>
      </c>
    </row>
    <row r="83" customFormat="false" ht="15" hidden="false" customHeight="false" outlineLevel="0" collapsed="false">
      <c r="B83" s="7" t="n">
        <v>46180</v>
      </c>
      <c r="C83" s="8" t="s">
        <v>41</v>
      </c>
      <c r="D83" s="8" t="s">
        <v>12</v>
      </c>
      <c r="E83" s="8" t="s">
        <v>19</v>
      </c>
      <c r="F83" s="8" t="s">
        <v>33</v>
      </c>
      <c r="G83" s="9" t="n">
        <v>104439</v>
      </c>
    </row>
    <row r="84" customFormat="false" ht="15" hidden="false" customHeight="false" outlineLevel="0" collapsed="false">
      <c r="B84" s="4" t="n">
        <v>46182</v>
      </c>
      <c r="C84" s="5" t="s">
        <v>41</v>
      </c>
      <c r="D84" s="5" t="s">
        <v>12</v>
      </c>
      <c r="E84" s="5" t="s">
        <v>17</v>
      </c>
      <c r="F84" s="5" t="s">
        <v>18</v>
      </c>
      <c r="G84" s="6" t="n">
        <v>111633</v>
      </c>
    </row>
    <row r="85" customFormat="false" ht="15" hidden="false" customHeight="false" outlineLevel="0" collapsed="false">
      <c r="B85" s="7" t="n">
        <v>46184</v>
      </c>
      <c r="C85" s="8" t="s">
        <v>41</v>
      </c>
      <c r="D85" s="8" t="s">
        <v>12</v>
      </c>
      <c r="E85" s="8" t="s">
        <v>24</v>
      </c>
      <c r="F85" s="8" t="s">
        <v>38</v>
      </c>
      <c r="G85" s="9" t="n">
        <v>205180</v>
      </c>
    </row>
    <row r="86" customFormat="false" ht="15" hidden="false" customHeight="false" outlineLevel="0" collapsed="false">
      <c r="B86" s="4" t="n">
        <v>46186</v>
      </c>
      <c r="C86" s="5" t="s">
        <v>41</v>
      </c>
      <c r="D86" s="5" t="s">
        <v>12</v>
      </c>
      <c r="E86" s="5" t="s">
        <v>19</v>
      </c>
      <c r="F86" s="5" t="s">
        <v>20</v>
      </c>
      <c r="G86" s="6" t="n">
        <v>197379</v>
      </c>
    </row>
    <row r="87" customFormat="false" ht="15" hidden="false" customHeight="false" outlineLevel="0" collapsed="false">
      <c r="B87" s="7" t="n">
        <v>46187</v>
      </c>
      <c r="C87" s="8" t="s">
        <v>41</v>
      </c>
      <c r="D87" s="8" t="s">
        <v>12</v>
      </c>
      <c r="E87" s="8" t="s">
        <v>21</v>
      </c>
      <c r="F87" s="8" t="s">
        <v>30</v>
      </c>
      <c r="G87" s="9" t="n">
        <v>145548</v>
      </c>
    </row>
    <row r="88" customFormat="false" ht="15" hidden="false" customHeight="false" outlineLevel="0" collapsed="false">
      <c r="B88" s="4" t="n">
        <v>46188</v>
      </c>
      <c r="C88" s="5" t="s">
        <v>41</v>
      </c>
      <c r="D88" s="5" t="s">
        <v>9</v>
      </c>
      <c r="E88" s="5" t="s">
        <v>10</v>
      </c>
      <c r="F88" s="5" t="s">
        <v>31</v>
      </c>
      <c r="G88" s="6" t="n">
        <v>200000</v>
      </c>
    </row>
    <row r="89" customFormat="false" ht="15" hidden="false" customHeight="false" outlineLevel="0" collapsed="false">
      <c r="B89" s="7" t="n">
        <v>46188</v>
      </c>
      <c r="C89" s="8" t="s">
        <v>41</v>
      </c>
      <c r="D89" s="8" t="s">
        <v>12</v>
      </c>
      <c r="E89" s="8" t="s">
        <v>15</v>
      </c>
      <c r="F89" s="8" t="s">
        <v>27</v>
      </c>
      <c r="G89" s="9" t="n">
        <v>38674</v>
      </c>
    </row>
    <row r="90" customFormat="false" ht="15" hidden="false" customHeight="false" outlineLevel="0" collapsed="false">
      <c r="B90" s="4" t="n">
        <v>46190</v>
      </c>
      <c r="C90" s="5" t="s">
        <v>41</v>
      </c>
      <c r="D90" s="5" t="s">
        <v>12</v>
      </c>
      <c r="E90" s="5" t="s">
        <v>24</v>
      </c>
      <c r="F90" s="5" t="s">
        <v>32</v>
      </c>
      <c r="G90" s="6" t="n">
        <v>130595</v>
      </c>
    </row>
    <row r="91" customFormat="false" ht="15" hidden="false" customHeight="false" outlineLevel="0" collapsed="false">
      <c r="B91" s="7" t="n">
        <v>46191</v>
      </c>
      <c r="C91" s="8" t="s">
        <v>41</v>
      </c>
      <c r="D91" s="8" t="s">
        <v>12</v>
      </c>
      <c r="E91" s="8" t="s">
        <v>19</v>
      </c>
      <c r="F91" s="8" t="s">
        <v>35</v>
      </c>
      <c r="G91" s="9" t="n">
        <v>141274</v>
      </c>
    </row>
    <row r="92" customFormat="false" ht="15" hidden="false" customHeight="false" outlineLevel="0" collapsed="false">
      <c r="B92" s="4" t="n">
        <v>46193</v>
      </c>
      <c r="C92" s="5" t="s">
        <v>41</v>
      </c>
      <c r="D92" s="5" t="s">
        <v>12</v>
      </c>
      <c r="E92" s="5" t="s">
        <v>24</v>
      </c>
      <c r="F92" s="5" t="s">
        <v>32</v>
      </c>
      <c r="G92" s="6" t="n">
        <v>65492</v>
      </c>
    </row>
    <row r="93" customFormat="false" ht="15" hidden="false" customHeight="false" outlineLevel="0" collapsed="false">
      <c r="B93" s="7" t="n">
        <v>46194</v>
      </c>
      <c r="C93" s="8" t="s">
        <v>41</v>
      </c>
      <c r="D93" s="8" t="s">
        <v>12</v>
      </c>
      <c r="E93" s="8" t="s">
        <v>24</v>
      </c>
      <c r="F93" s="8" t="s">
        <v>38</v>
      </c>
      <c r="G93" s="9" t="n">
        <v>161243</v>
      </c>
    </row>
    <row r="94" customFormat="false" ht="15" hidden="false" customHeight="false" outlineLevel="0" collapsed="false">
      <c r="B94" s="4" t="n">
        <v>46196</v>
      </c>
      <c r="C94" s="5" t="s">
        <v>41</v>
      </c>
      <c r="D94" s="5" t="s">
        <v>12</v>
      </c>
      <c r="E94" s="5" t="s">
        <v>19</v>
      </c>
      <c r="F94" s="5" t="s">
        <v>35</v>
      </c>
      <c r="G94" s="6" t="n">
        <v>178211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6"/>
  </cols>
  <sheetData>
    <row r="2" customFormat="false" ht="22.05" hidden="false" customHeight="false" outlineLevel="0" collapsed="false">
      <c r="B2" s="1" t="s">
        <v>42</v>
      </c>
    </row>
    <row r="3" customFormat="false" ht="15" hidden="false" customHeight="false" outlineLevel="0" collapsed="false">
      <c r="B3" s="2" t="s">
        <v>43</v>
      </c>
    </row>
    <row r="5" customFormat="false" ht="15" hidden="false" customHeight="false" outlineLevel="0" collapsed="false">
      <c r="B5" s="10" t="s">
        <v>44</v>
      </c>
      <c r="C5" s="10" t="s">
        <v>45</v>
      </c>
    </row>
    <row r="6" customFormat="false" ht="15" hidden="false" customHeight="false" outlineLevel="0" collapsed="false">
      <c r="B6" s="5" t="s">
        <v>46</v>
      </c>
      <c r="C6" s="6" t="n">
        <f aca="false">SUMIF(Datos!$D$6:$D$94,"Ingreso",Datos!$G$6:$G$94)</f>
        <v>19800000</v>
      </c>
    </row>
    <row r="7" customFormat="false" ht="15" hidden="false" customHeight="false" outlineLevel="0" collapsed="false">
      <c r="B7" s="5" t="s">
        <v>47</v>
      </c>
      <c r="C7" s="6" t="n">
        <f aca="false">SUMIF(Datos!$D$6:$D$94,"Gasto",Datos!$G$6:$G$94)</f>
        <v>9946566</v>
      </c>
    </row>
    <row r="8" customFormat="false" ht="15" hidden="false" customHeight="false" outlineLevel="0" collapsed="false">
      <c r="B8" s="5" t="s">
        <v>48</v>
      </c>
      <c r="C8" s="6" t="n">
        <f aca="false">C6-C7</f>
        <v>9853434</v>
      </c>
    </row>
    <row r="11" customFormat="false" ht="15" hidden="false" customHeight="false" outlineLevel="0" collapsed="false">
      <c r="B11" s="11" t="s">
        <v>49</v>
      </c>
      <c r="C11" s="11"/>
    </row>
    <row r="12" customFormat="false" ht="15" hidden="false" customHeight="false" outlineLevel="0" collapsed="false">
      <c r="B12" s="12" t="s">
        <v>5</v>
      </c>
      <c r="C12" s="12" t="s">
        <v>50</v>
      </c>
    </row>
    <row r="13" customFormat="false" ht="15" hidden="false" customHeight="false" outlineLevel="0" collapsed="false">
      <c r="B13" s="5" t="s">
        <v>21</v>
      </c>
      <c r="C13" s="6" t="n">
        <f aca="false">SUMIF(Datos!$E$6:$E$94,B13,Datos!$G$6:$G$94)</f>
        <v>1546119</v>
      </c>
    </row>
    <row r="14" customFormat="false" ht="15" hidden="false" customHeight="false" outlineLevel="0" collapsed="false">
      <c r="B14" s="8" t="s">
        <v>24</v>
      </c>
      <c r="C14" s="9" t="n">
        <f aca="false">SUMIF(Datos!$E$6:$E$94,B14,Datos!$G$6:$G$94)</f>
        <v>1435343</v>
      </c>
    </row>
    <row r="15" customFormat="false" ht="15" hidden="false" customHeight="false" outlineLevel="0" collapsed="false">
      <c r="B15" s="5" t="s">
        <v>15</v>
      </c>
      <c r="C15" s="6" t="n">
        <f aca="false">SUMIF(Datos!$E$6:$E$94,B15,Datos!$G$6:$G$94)</f>
        <v>1401248</v>
      </c>
    </row>
    <row r="16" customFormat="false" ht="15" hidden="false" customHeight="false" outlineLevel="0" collapsed="false">
      <c r="B16" s="8" t="s">
        <v>19</v>
      </c>
      <c r="C16" s="9" t="n">
        <f aca="false">SUMIF(Datos!$E$6:$E$94,B16,Datos!$G$6:$G$94)</f>
        <v>2261192</v>
      </c>
    </row>
    <row r="17" customFormat="false" ht="15" hidden="false" customHeight="false" outlineLevel="0" collapsed="false">
      <c r="B17" s="5" t="s">
        <v>13</v>
      </c>
      <c r="C17" s="6" t="n">
        <f aca="false">SUMIF(Datos!$E$6:$E$94,B17,Datos!$G$6:$G$94)</f>
        <v>1636704</v>
      </c>
    </row>
    <row r="18" customFormat="false" ht="15" hidden="false" customHeight="false" outlineLevel="0" collapsed="false">
      <c r="B18" s="8" t="s">
        <v>17</v>
      </c>
      <c r="C18" s="9" t="n">
        <f aca="false">SUMIF(Datos!$E$6:$E$94,B18,Datos!$G$6:$G$94)</f>
        <v>1665960</v>
      </c>
    </row>
    <row r="20" customFormat="false" ht="15" hidden="false" customHeight="false" outlineLevel="0" collapsed="false">
      <c r="B20" s="13" t="s">
        <v>51</v>
      </c>
      <c r="C20" s="14" t="str">
        <f aca="false">INDEX($B$13:$B$18,MATCH(MAX($C$13:$C$18),$C$13:$C$18,0))</f>
        <v>Servicios</v>
      </c>
    </row>
    <row r="23" customFormat="false" ht="15" hidden="false" customHeight="false" outlineLevel="0" collapsed="false">
      <c r="B23" s="11" t="s">
        <v>52</v>
      </c>
      <c r="C23" s="11"/>
      <c r="D23" s="11"/>
      <c r="E23" s="11"/>
    </row>
    <row r="24" customFormat="false" ht="15" hidden="false" customHeight="false" outlineLevel="0" collapsed="false">
      <c r="B24" s="10" t="s">
        <v>3</v>
      </c>
      <c r="C24" s="10" t="s">
        <v>10</v>
      </c>
      <c r="D24" s="10" t="s">
        <v>53</v>
      </c>
      <c r="E24" s="10" t="s">
        <v>54</v>
      </c>
      <c r="F24" s="10" t="s">
        <v>55</v>
      </c>
    </row>
    <row r="25" customFormat="false" ht="15" hidden="false" customHeight="false" outlineLevel="0" collapsed="false">
      <c r="B25" s="5" t="s">
        <v>8</v>
      </c>
      <c r="C25" s="6" t="n">
        <f aca="false">SUMIFS(Datos!$G$6:$G$94,Datos!$D$6:$D$94,"Ingreso",Datos!$C$6:$C$94,B25)</f>
        <v>3200000</v>
      </c>
      <c r="D25" s="6" t="n">
        <f aca="false">SUMIFS(Datos!$G$6:$G$94,Datos!$D$6:$D$94,"Gasto",Datos!$C$6:$C$94,B25)</f>
        <v>1450000</v>
      </c>
      <c r="E25" s="6" t="n">
        <f aca="false">C25-D25</f>
        <v>1750000</v>
      </c>
      <c r="F25" s="5" t="n">
        <v>1</v>
      </c>
    </row>
    <row r="26" customFormat="false" ht="15" hidden="false" customHeight="false" outlineLevel="0" collapsed="false">
      <c r="B26" s="5" t="s">
        <v>26</v>
      </c>
      <c r="C26" s="6" t="n">
        <f aca="false">SUMIFS(Datos!$G$6:$G$94,Datos!$D$6:$D$94,"Ingreso",Datos!$C$6:$C$94,B26)</f>
        <v>3400000</v>
      </c>
      <c r="D26" s="6" t="n">
        <f aca="false">SUMIFS(Datos!$G$6:$G$94,Datos!$D$6:$D$94,"Gasto",Datos!$C$6:$C$94,B26)</f>
        <v>1520000</v>
      </c>
      <c r="E26" s="6" t="n">
        <f aca="false">C26-D26</f>
        <v>1880000</v>
      </c>
      <c r="F26" s="5" t="n">
        <v>2</v>
      </c>
    </row>
    <row r="27" customFormat="false" ht="15" hidden="false" customHeight="false" outlineLevel="0" collapsed="false">
      <c r="B27" s="5" t="s">
        <v>36</v>
      </c>
      <c r="C27" s="6" t="n">
        <f aca="false">SUMIFS(Datos!$G$6:$G$94,Datos!$D$6:$D$94,"Ingreso",Datos!$C$6:$C$94,B27)</f>
        <v>3200000</v>
      </c>
      <c r="D27" s="6" t="n">
        <f aca="false">SUMIFS(Datos!$G$6:$G$94,Datos!$D$6:$D$94,"Gasto",Datos!$C$6:$C$94,B27)</f>
        <v>1610000</v>
      </c>
      <c r="E27" s="6" t="n">
        <f aca="false">C27-D27</f>
        <v>1590000</v>
      </c>
      <c r="F27" s="5" t="n">
        <v>3</v>
      </c>
    </row>
    <row r="28" customFormat="false" ht="15" hidden="false" customHeight="false" outlineLevel="0" collapsed="false">
      <c r="B28" s="5" t="s">
        <v>37</v>
      </c>
      <c r="C28" s="6" t="n">
        <f aca="false">SUMIFS(Datos!$G$6:$G$94,Datos!$D$6:$D$94,"Ingreso",Datos!$C$6:$C$94,B28)</f>
        <v>3400000</v>
      </c>
      <c r="D28" s="6" t="n">
        <f aca="false">SUMIFS(Datos!$G$6:$G$94,Datos!$D$6:$D$94,"Gasto",Datos!$C$6:$C$94,B28)</f>
        <v>1690000</v>
      </c>
      <c r="E28" s="6" t="n">
        <f aca="false">C28-D28</f>
        <v>1710000</v>
      </c>
      <c r="F28" s="5" t="n">
        <v>4</v>
      </c>
    </row>
    <row r="29" customFormat="false" ht="15" hidden="false" customHeight="false" outlineLevel="0" collapsed="false">
      <c r="B29" s="5" t="s">
        <v>40</v>
      </c>
      <c r="C29" s="6" t="n">
        <f aca="false">SUMIFS(Datos!$G$6:$G$94,Datos!$D$6:$D$94,"Ingreso",Datos!$C$6:$C$94,B29)</f>
        <v>3200000</v>
      </c>
      <c r="D29" s="6" t="n">
        <f aca="false">SUMIFS(Datos!$G$6:$G$94,Datos!$D$6:$D$94,"Gasto",Datos!$C$6:$C$94,B29)</f>
        <v>1780000</v>
      </c>
      <c r="E29" s="6" t="n">
        <f aca="false">C29-D29</f>
        <v>1420000</v>
      </c>
      <c r="F29" s="5" t="n">
        <v>5</v>
      </c>
    </row>
    <row r="30" customFormat="false" ht="15" hidden="false" customHeight="false" outlineLevel="0" collapsed="false">
      <c r="B30" s="5" t="s">
        <v>41</v>
      </c>
      <c r="C30" s="6" t="n">
        <f aca="false">SUMIFS(Datos!$G$6:$G$94,Datos!$D$6:$D$94,"Ingreso",Datos!$C$6:$C$94,B30)</f>
        <v>3400000</v>
      </c>
      <c r="D30" s="6" t="n">
        <f aca="false">SUMIFS(Datos!$G$6:$G$94,Datos!$D$6:$D$94,"Gasto",Datos!$C$6:$C$94,B30)</f>
        <v>1896566</v>
      </c>
      <c r="E30" s="6" t="n">
        <f aca="false">C30-D30</f>
        <v>1503434</v>
      </c>
      <c r="F30" s="5" t="n">
        <v>6</v>
      </c>
    </row>
    <row r="32" customFormat="false" ht="15" hidden="false" customHeight="false" outlineLevel="0" collapsed="false">
      <c r="B32" s="13" t="s">
        <v>56</v>
      </c>
      <c r="C32" s="15" t="n">
        <f aca="false">FORECAST(7,$D$25:$D$30,$F$25:$F$30)</f>
        <v>1967044</v>
      </c>
    </row>
  </sheetData>
  <mergeCells count="2">
    <mergeCell ref="B11:C11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3"/>
  </cols>
  <sheetData>
    <row r="2" customFormat="false" ht="22.05" hidden="false" customHeight="false" outlineLevel="0" collapsed="false">
      <c r="B2" s="1" t="s">
        <v>57</v>
      </c>
    </row>
    <row r="3" customFormat="false" ht="15" hidden="false" customHeight="false" outlineLevel="0" collapsed="false">
      <c r="B3" s="2" t="s">
        <v>58</v>
      </c>
    </row>
    <row r="5" customFormat="false" ht="30" hidden="false" customHeight="true" outlineLevel="0" collapsed="false">
      <c r="B5" s="16" t="s">
        <v>59</v>
      </c>
      <c r="C5" s="16"/>
      <c r="D5" s="17" t="s">
        <v>60</v>
      </c>
      <c r="E5" s="17"/>
      <c r="F5" s="18" t="s">
        <v>61</v>
      </c>
      <c r="G5" s="18"/>
      <c r="H5" s="19" t="s">
        <v>62</v>
      </c>
      <c r="I5" s="19"/>
    </row>
    <row r="6" customFormat="false" ht="21.75" hidden="false" customHeight="true" outlineLevel="0" collapsed="false">
      <c r="B6" s="20" t="n">
        <f aca="false">Fórmulas!C6</f>
        <v>19800000</v>
      </c>
      <c r="C6" s="20"/>
      <c r="D6" s="20" t="n">
        <f aca="false">Fórmulas!C7</f>
        <v>9946566</v>
      </c>
      <c r="E6" s="20"/>
      <c r="F6" s="20" t="n">
        <f aca="false">Fórmulas!C8</f>
        <v>9853434</v>
      </c>
      <c r="G6" s="20"/>
      <c r="H6" s="20" t="n">
        <f aca="false">Fórmulas!C32</f>
        <v>1967044</v>
      </c>
      <c r="I6" s="20"/>
    </row>
    <row r="7" customFormat="false" ht="21.75" hidden="false" customHeight="true" outlineLevel="0" collapsed="false">
      <c r="B7" s="20"/>
      <c r="C7" s="20"/>
      <c r="D7" s="20"/>
      <c r="E7" s="20"/>
      <c r="F7" s="20"/>
      <c r="G7" s="20"/>
      <c r="H7" s="20"/>
      <c r="I7" s="20"/>
    </row>
    <row r="9" customFormat="false" ht="15" hidden="false" customHeight="false" outlineLevel="0" collapsed="false">
      <c r="B9" s="13" t="s">
        <v>63</v>
      </c>
      <c r="D9" s="21" t="str">
        <f aca="false">Fórmulas!C20</f>
        <v>Servicios</v>
      </c>
      <c r="E9" s="21"/>
    </row>
    <row r="46" customFormat="false" ht="15" hidden="false" customHeight="true" outlineLevel="0" collapsed="false">
      <c r="B46" s="22" t="s">
        <v>64</v>
      </c>
      <c r="C46" s="22"/>
      <c r="D46" s="22"/>
      <c r="E46" s="22"/>
      <c r="F46" s="22"/>
      <c r="G46" s="22"/>
      <c r="H46" s="22"/>
    </row>
    <row r="47" customFormat="false" ht="15" hidden="false" customHeight="false" outlineLevel="0" collapsed="false">
      <c r="B47" s="22"/>
      <c r="C47" s="22"/>
      <c r="D47" s="22"/>
      <c r="E47" s="22"/>
      <c r="F47" s="22"/>
      <c r="G47" s="22"/>
      <c r="H47" s="22"/>
    </row>
  </sheetData>
  <mergeCells count="10">
    <mergeCell ref="B5:C5"/>
    <mergeCell ref="D5:E5"/>
    <mergeCell ref="F5:G5"/>
    <mergeCell ref="H5:I5"/>
    <mergeCell ref="B6:C7"/>
    <mergeCell ref="D6:E7"/>
    <mergeCell ref="F6:G7"/>
    <mergeCell ref="H6:I7"/>
    <mergeCell ref="D9:E9"/>
    <mergeCell ref="B46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65</v>
      </c>
    </row>
    <row r="4" customFormat="false" ht="15" hidden="false" customHeight="false" outlineLevel="0" collapsed="false">
      <c r="B4" s="23" t="s">
        <v>66</v>
      </c>
    </row>
    <row r="5" customFormat="false" ht="45" hidden="false" customHeight="true" outlineLevel="0" collapsed="false">
      <c r="B5" s="24" t="s">
        <v>67</v>
      </c>
      <c r="C5" s="24"/>
      <c r="D5" s="24"/>
      <c r="E5" s="24"/>
      <c r="F5" s="24"/>
      <c r="G5" s="24"/>
    </row>
    <row r="7" customFormat="false" ht="15" hidden="false" customHeight="false" outlineLevel="0" collapsed="false">
      <c r="B7" s="23" t="s">
        <v>68</v>
      </c>
    </row>
    <row r="8" customFormat="false" ht="45" hidden="false" customHeight="true" outlineLevel="0" collapsed="false">
      <c r="B8" s="24" t="s">
        <v>69</v>
      </c>
      <c r="C8" s="24"/>
      <c r="D8" s="24"/>
      <c r="E8" s="24"/>
      <c r="F8" s="24"/>
      <c r="G8" s="24"/>
    </row>
    <row r="10" customFormat="false" ht="15" hidden="false" customHeight="false" outlineLevel="0" collapsed="false">
      <c r="B10" s="23" t="s">
        <v>70</v>
      </c>
    </row>
    <row r="11" customFormat="false" ht="45" hidden="false" customHeight="true" outlineLevel="0" collapsed="false">
      <c r="B11" s="24" t="s">
        <v>71</v>
      </c>
      <c r="C11" s="24"/>
      <c r="D11" s="24"/>
      <c r="E11" s="24"/>
      <c r="F11" s="24"/>
      <c r="G11" s="24"/>
    </row>
    <row r="13" customFormat="false" ht="15" hidden="false" customHeight="false" outlineLevel="0" collapsed="false">
      <c r="B13" s="23" t="s">
        <v>72</v>
      </c>
    </row>
    <row r="14" customFormat="false" ht="45" hidden="false" customHeight="true" outlineLevel="0" collapsed="false">
      <c r="B14" s="24" t="s">
        <v>73</v>
      </c>
      <c r="C14" s="24"/>
      <c r="D14" s="24"/>
      <c r="E14" s="24"/>
      <c r="F14" s="24"/>
      <c r="G14" s="24"/>
    </row>
    <row r="16" customFormat="false" ht="15" hidden="false" customHeight="false" outlineLevel="0" collapsed="false">
      <c r="B16" s="23" t="s">
        <v>74</v>
      </c>
    </row>
    <row r="17" customFormat="false" ht="45" hidden="false" customHeight="true" outlineLevel="0" collapsed="false">
      <c r="B17" s="24" t="s">
        <v>75</v>
      </c>
      <c r="C17" s="24"/>
      <c r="D17" s="24"/>
      <c r="E17" s="24"/>
      <c r="F17" s="24"/>
      <c r="G17" s="24"/>
    </row>
  </sheetData>
  <mergeCells count="5">
    <mergeCell ref="B5:G5"/>
    <mergeCell ref="B8:G8"/>
    <mergeCell ref="B11:G11"/>
    <mergeCell ref="B14:G14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2026-09-27T19:37:57Z</dcterms:created>
  <dc:creator>openpyxl</dc:creator>
  <dc:description/>
  <dc:language>en-US</dc:language>
  <cp:lastModifiedBy/>
  <dcterms:modified xsi:type="dcterms:W3CDTF">2026-09-27T19:38:00Z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